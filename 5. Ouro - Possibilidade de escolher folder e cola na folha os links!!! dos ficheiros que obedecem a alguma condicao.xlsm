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eLivro" defaultThemeVersion="124226"/>
  <bookViews>
    <workbookView xWindow="240" yWindow="750" windowWidth="18915" windowHeight="7845"/>
  </bookViews>
  <sheets>
    <sheet name="RawData" sheetId="10" r:id="rId1"/>
    <sheet name="Chart" sheetId="11" r:id="rId2"/>
  </sheets>
  <externalReferences>
    <externalReference r:id="rId3"/>
  </externalReferences>
  <definedNames>
    <definedName name="_xlnm._FilterDatabase" localSheetId="0" hidden="1">RawData!$A$1:$D$1</definedName>
    <definedName name="_xlnm.Print_Area" localSheetId="1">Chart!$A:$K</definedName>
    <definedName name="valuevx">42.314159</definedName>
  </definedNames>
  <calcPr calcId="145621"/>
</workbook>
</file>

<file path=xl/calcChain.xml><?xml version="1.0" encoding="utf-8"?>
<calcChain xmlns="http://schemas.openxmlformats.org/spreadsheetml/2006/main">
  <c r="I31" i="11" l="1"/>
  <c r="H31" i="11"/>
  <c r="E31" i="11"/>
  <c r="I30" i="11"/>
  <c r="H30" i="11"/>
  <c r="E30" i="11"/>
  <c r="I29" i="11"/>
  <c r="H29" i="11"/>
  <c r="E29" i="11"/>
  <c r="C29" i="11"/>
  <c r="I28" i="11"/>
  <c r="E28" i="11"/>
  <c r="C28" i="11"/>
  <c r="H28" i="11" s="1"/>
  <c r="K27" i="11"/>
  <c r="J27" i="11"/>
  <c r="I27" i="11"/>
  <c r="H27" i="11"/>
  <c r="G27" i="11"/>
  <c r="F27" i="11"/>
  <c r="D27" i="11"/>
  <c r="E27" i="11" s="1"/>
  <c r="D28" i="11" l="1"/>
  <c r="K28" i="11" l="1"/>
  <c r="G28" i="11"/>
  <c r="J28" i="11"/>
  <c r="F28" i="11"/>
  <c r="D29" i="11"/>
  <c r="K29" i="11" l="1"/>
  <c r="G29" i="11"/>
  <c r="J29" i="11"/>
  <c r="F29" i="11"/>
  <c r="D30" i="11"/>
  <c r="K30" i="11" l="1"/>
  <c r="G30" i="11"/>
  <c r="J30" i="11"/>
  <c r="F30" i="11"/>
  <c r="D31" i="11"/>
  <c r="G31" i="11" l="1"/>
  <c r="J31" i="11"/>
  <c r="F31" i="11"/>
</calcChain>
</file>

<file path=xl/comments1.xml><?xml version="1.0" encoding="utf-8"?>
<comments xmlns="http://schemas.openxmlformats.org/spreadsheetml/2006/main">
  <authors>
    <author>Vertex42</author>
  </authors>
  <commentList>
    <comment ref="B26" authorId="0">
      <text>
        <r>
          <rPr>
            <b/>
            <sz val="8"/>
            <color indexed="81"/>
            <rFont val="Tahoma"/>
            <family val="2"/>
          </rPr>
          <t>Pillars:</t>
        </r>
        <r>
          <rPr>
            <sz val="8"/>
            <color indexed="81"/>
            <rFont val="Tahoma"/>
            <family val="2"/>
          </rPr>
          <t xml:space="preserve">
Place a letter "x" in this column to display the Flow value as a full-length bar or column. Except for the Start column, the Delta for a pillar should be zero (0).</t>
        </r>
      </text>
    </comment>
    <comment ref="C26" authorId="0">
      <text>
        <r>
          <rPr>
            <b/>
            <sz val="8"/>
            <color indexed="81"/>
            <rFont val="Tahoma"/>
            <family val="2"/>
          </rPr>
          <t>Delta:</t>
        </r>
        <r>
          <rPr>
            <sz val="8"/>
            <color indexed="81"/>
            <rFont val="Tahoma"/>
            <family val="2"/>
          </rPr>
          <t xml:space="preserve">
Enter the positive and negative adjustments in this column, or zero (0) for a pillar.</t>
        </r>
      </text>
    </comment>
    <comment ref="D26" authorId="0">
      <text>
        <r>
          <rPr>
            <b/>
            <sz val="8"/>
            <color indexed="81"/>
            <rFont val="Tahoma"/>
            <family val="2"/>
          </rPr>
          <t>Flow:</t>
        </r>
        <r>
          <rPr>
            <sz val="8"/>
            <color indexed="81"/>
            <rFont val="Tahoma"/>
            <family val="2"/>
          </rPr>
          <t xml:space="preserve">
This column is labled "Flow" because in many waterfall charts, this would represent "Cash Flow."</t>
        </r>
      </text>
    </comment>
  </commentList>
</comments>
</file>

<file path=xl/sharedStrings.xml><?xml version="1.0" encoding="utf-8"?>
<sst xmlns="http://schemas.openxmlformats.org/spreadsheetml/2006/main" count="22" uniqueCount="21">
  <si>
    <t>PI</t>
  </si>
  <si>
    <t>Machine/Type</t>
  </si>
  <si>
    <t>DMC</t>
  </si>
  <si>
    <t>Label</t>
  </si>
  <si>
    <t>Pillar</t>
  </si>
  <si>
    <t>Delta</t>
  </si>
  <si>
    <t>Flow</t>
  </si>
  <si>
    <t>Pillars</t>
  </si>
  <si>
    <t>Base+</t>
  </si>
  <si>
    <t>Base-</t>
  </si>
  <si>
    <t>Delta+</t>
  </si>
  <si>
    <t>Delta-</t>
  </si>
  <si>
    <t>Invisible</t>
  </si>
  <si>
    <t>Lines</t>
  </si>
  <si>
    <t>TLDs</t>
  </si>
  <si>
    <t>x</t>
  </si>
  <si>
    <t>Completed</t>
  </si>
  <si>
    <t>Follow up req.</t>
  </si>
  <si>
    <t>GR</t>
  </si>
  <si>
    <t>Eng.</t>
  </si>
  <si>
    <t>waterfall chart in other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</si>
</sst>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0"/>
      <color theme="4" tint="-0.249977111117893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3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5" fillId="0" borderId="0" xfId="1" applyFont="1">
      <alignment vertical="center"/>
    </xf>
    <xf numFmtId="21" fontId="5" fillId="0" borderId="0" xfId="1" applyNumberFormat="1" applyFont="1">
      <alignment vertical="center"/>
    </xf>
    <xf numFmtId="164" fontId="5" fillId="0" borderId="0" xfId="1" applyNumberFormat="1" applyFont="1">
      <alignment vertical="center"/>
    </xf>
    <xf numFmtId="164" fontId="0" fillId="0" borderId="0" xfId="0" applyNumberFormat="1"/>
    <xf numFmtId="0" fontId="6" fillId="0" borderId="0" xfId="4"/>
    <xf numFmtId="0" fontId="7" fillId="0" borderId="0" xfId="5" applyFont="1" applyFill="1" applyAlignment="1" applyProtection="1">
      <alignment horizontal="left"/>
    </xf>
    <xf numFmtId="0" fontId="4" fillId="0" borderId="0" xfId="5"/>
    <xf numFmtId="0" fontId="8" fillId="0" borderId="0" xfId="6" applyAlignment="1" applyProtection="1"/>
    <xf numFmtId="0" fontId="9" fillId="0" borderId="0" xfId="5" applyFont="1"/>
    <xf numFmtId="0" fontId="10" fillId="0" borderId="0" xfId="5" applyFont="1"/>
    <xf numFmtId="0" fontId="11" fillId="2" borderId="0" xfId="5" applyFont="1" applyFill="1"/>
    <xf numFmtId="0" fontId="12" fillId="2" borderId="0" xfId="5" applyFont="1" applyFill="1" applyAlignment="1">
      <alignment horizontal="center"/>
    </xf>
    <xf numFmtId="0" fontId="12" fillId="2" borderId="0" xfId="5" applyFont="1" applyFill="1" applyAlignment="1">
      <alignment horizontal="right"/>
    </xf>
    <xf numFmtId="0" fontId="13" fillId="2" borderId="0" xfId="5" applyFont="1" applyFill="1" applyAlignment="1">
      <alignment horizontal="right"/>
    </xf>
    <xf numFmtId="0" fontId="14" fillId="0" borderId="0" xfId="5" applyFont="1"/>
    <xf numFmtId="0" fontId="15" fillId="3" borderId="1" xfId="5" applyFont="1" applyFill="1" applyBorder="1"/>
    <xf numFmtId="0" fontId="4" fillId="3" borderId="1" xfId="5" applyFill="1" applyBorder="1" applyAlignment="1">
      <alignment horizontal="center"/>
    </xf>
    <xf numFmtId="0" fontId="4" fillId="3" borderId="0" xfId="5" applyFont="1" applyFill="1" applyAlignment="1">
      <alignment horizontal="right"/>
    </xf>
    <xf numFmtId="0" fontId="16" fillId="3" borderId="0" xfId="5" applyFont="1" applyFill="1" applyAlignment="1">
      <alignment horizontal="right" shrinkToFit="1"/>
    </xf>
    <xf numFmtId="0" fontId="4" fillId="0" borderId="1" xfId="5" applyBorder="1" applyAlignment="1">
      <alignment wrapText="1"/>
    </xf>
    <xf numFmtId="0" fontId="4" fillId="0" borderId="1" xfId="5" applyBorder="1" applyAlignment="1">
      <alignment horizontal="center"/>
    </xf>
    <xf numFmtId="0" fontId="4" fillId="0" borderId="1" xfId="5" applyBorder="1"/>
    <xf numFmtId="0" fontId="4" fillId="0" borderId="0" xfId="5" applyFont="1" applyAlignment="1">
      <alignment horizontal="right"/>
    </xf>
    <xf numFmtId="0" fontId="16" fillId="0" borderId="0" xfId="5" applyFont="1" applyAlignment="1">
      <alignment horizontal="right" shrinkToFit="1"/>
    </xf>
    <xf numFmtId="0" fontId="4" fillId="0" borderId="1" xfId="5" applyFont="1" applyBorder="1" applyAlignment="1">
      <alignment wrapText="1"/>
    </xf>
    <xf numFmtId="0" fontId="4" fillId="0" borderId="1" xfId="5" applyFont="1" applyBorder="1"/>
  </cellXfs>
  <cellStyles count="7">
    <cellStyle name="Hyperlink" xfId="4" builtinId="8"/>
    <cellStyle name="Hyperlink 2" xfId="6"/>
    <cellStyle name="Normal" xfId="0" builtinId="0"/>
    <cellStyle name="Normal 2" xfId="1"/>
    <cellStyle name="Normal 2 2" xfId="5"/>
    <cellStyle name="Percent 2" xfId="3"/>
    <cellStyle name="Standard_Tabelle1" xfId="2"/>
  </cellStyles>
  <dxfs count="2">
    <dxf>
      <font>
        <color theme="0" tint="-0.24994659260841701"/>
      </font>
    </dxf>
    <dxf>
      <font>
        <color theme="0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621 TLDs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5895787279472525E-2"/>
          <c:y val="0.10342582177227846"/>
          <c:w val="0.88098540301039785"/>
          <c:h val="0.648207099112610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Chart!$E$26</c:f>
              <c:strCache>
                <c:ptCount val="1"/>
                <c:pt idx="0">
                  <c:v>Pillars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dPt>
            <c:idx val="5"/>
            <c:invertIfNegative val="0"/>
            <c:bubble3D val="0"/>
            <c:spPr/>
          </c:dPt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Chart!$A$27:$A$31</c:f>
              <c:strCache>
                <c:ptCount val="5"/>
                <c:pt idx="0">
                  <c:v>TLDs</c:v>
                </c:pt>
                <c:pt idx="1">
                  <c:v>Completed</c:v>
                </c:pt>
                <c:pt idx="2">
                  <c:v>Follow up req.</c:v>
                </c:pt>
                <c:pt idx="3">
                  <c:v>GR</c:v>
                </c:pt>
                <c:pt idx="4">
                  <c:v>Eng.</c:v>
                </c:pt>
              </c:strCache>
            </c:strRef>
          </c:cat>
          <c:val>
            <c:numRef>
              <c:f>Chart!$E$27:$E$31</c:f>
              <c:numCache>
                <c:formatCode>General</c:formatCode>
                <c:ptCount val="5"/>
                <c:pt idx="0">
                  <c:v>158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Chart!$J$26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Chart!$A$27:$A$31</c:f>
              <c:strCache>
                <c:ptCount val="5"/>
                <c:pt idx="0">
                  <c:v>TLDs</c:v>
                </c:pt>
                <c:pt idx="1">
                  <c:v>Completed</c:v>
                </c:pt>
                <c:pt idx="2">
                  <c:v>Follow up req.</c:v>
                </c:pt>
                <c:pt idx="3">
                  <c:v>GR</c:v>
                </c:pt>
                <c:pt idx="4">
                  <c:v>Eng.</c:v>
                </c:pt>
              </c:strCache>
            </c:strRef>
          </c:cat>
          <c:val>
            <c:numRef>
              <c:f>Chart!$J$27:$J$31</c:f>
              <c:numCache>
                <c:formatCode>General</c:formatCode>
                <c:ptCount val="5"/>
                <c:pt idx="0">
                  <c:v>#N/A</c:v>
                </c:pt>
                <c:pt idx="1">
                  <c:v>158</c:v>
                </c:pt>
                <c:pt idx="2">
                  <c:v>41</c:v>
                </c:pt>
                <c:pt idx="3">
                  <c:v>19</c:v>
                </c:pt>
                <c:pt idx="4">
                  <c:v>41</c:v>
                </c:pt>
              </c:numCache>
            </c:numRef>
          </c:val>
        </c:ser>
        <c:ser>
          <c:idx val="5"/>
          <c:order val="2"/>
          <c:tx>
            <c:strRef>
              <c:f>Chart!$H$26</c:f>
              <c:strCache>
                <c:ptCount val="1"/>
                <c:pt idx="0">
                  <c:v>Delta+</c:v>
                </c:pt>
              </c:strCache>
            </c:strRef>
          </c:tx>
          <c:spPr>
            <a:noFill/>
            <a:ln w="28575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28575">
                <a:noFill/>
              </a:ln>
            </c:spPr>
          </c:dPt>
          <c:dLbls>
            <c:numFmt formatCode="\+#,##0;\-#,##0" sourceLinked="0"/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Chart!$H$27:$H$31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19</c:v>
                </c:pt>
                <c:pt idx="4">
                  <c:v>22</c:v>
                </c:pt>
              </c:numCache>
            </c:numRef>
          </c:val>
        </c:ser>
        <c:ser>
          <c:idx val="6"/>
          <c:order val="3"/>
          <c:tx>
            <c:strRef>
              <c:f>Chart!$I$26</c:f>
              <c:strCache>
                <c:ptCount val="1"/>
                <c:pt idx="0">
                  <c:v>Delta-</c:v>
                </c:pt>
              </c:strCache>
            </c:strRef>
          </c:tx>
          <c:spPr>
            <a:noFill/>
            <a:ln w="28575">
              <a:noFill/>
            </a:ln>
          </c:spPr>
          <c:invertIfNegative val="0"/>
          <c:dLbls>
            <c:numFmt formatCode="\-#,##0;\-#,##0" sourceLinked="0"/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Chart!$I$27:$I$31</c:f>
              <c:numCache>
                <c:formatCode>General</c:formatCode>
                <c:ptCount val="5"/>
                <c:pt idx="0">
                  <c:v>#N/A</c:v>
                </c:pt>
                <c:pt idx="1">
                  <c:v>117</c:v>
                </c:pt>
                <c:pt idx="2">
                  <c:v>41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4463616"/>
        <c:axId val="44465152"/>
      </c:barChart>
      <c:lineChart>
        <c:grouping val="standard"/>
        <c:varyColors val="0"/>
        <c:ser>
          <c:idx val="2"/>
          <c:order val="4"/>
          <c:tx>
            <c:strRef>
              <c:f>Chart!$F$26</c:f>
              <c:strCache>
                <c:ptCount val="1"/>
                <c:pt idx="0">
                  <c:v>Base+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Chart!$H$27:$H$31</c:f>
                <c:numCache>
                  <c:formatCode>General</c:formatCode>
                  <c:ptCount val="5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19</c:v>
                  </c:pt>
                  <c:pt idx="4">
                    <c:v>22</c:v>
                  </c:pt>
                </c:numCache>
              </c:numRef>
            </c:minus>
            <c:spPr>
              <a:ln w="317500">
                <a:solidFill>
                  <a:schemeClr val="accent3"/>
                </a:solidFill>
              </a:ln>
            </c:spPr>
          </c:errBars>
          <c:cat>
            <c:strRef>
              <c:f>Chart!$A$27:$A$31</c:f>
              <c:strCache>
                <c:ptCount val="5"/>
                <c:pt idx="0">
                  <c:v>TLDs</c:v>
                </c:pt>
                <c:pt idx="1">
                  <c:v>Completed</c:v>
                </c:pt>
                <c:pt idx="2">
                  <c:v>Follow up req.</c:v>
                </c:pt>
                <c:pt idx="3">
                  <c:v>GR</c:v>
                </c:pt>
                <c:pt idx="4">
                  <c:v>Eng.</c:v>
                </c:pt>
              </c:strCache>
            </c:strRef>
          </c:cat>
          <c:val>
            <c:numRef>
              <c:f>Chart!$F$27:$F$31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19</c:v>
                </c:pt>
                <c:pt idx="4">
                  <c:v>41</c:v>
                </c:pt>
              </c:numCache>
            </c:numRef>
          </c:val>
          <c:smooth val="0"/>
        </c:ser>
        <c:ser>
          <c:idx val="3"/>
          <c:order val="5"/>
          <c:tx>
            <c:strRef>
              <c:f>Chart!$G$26</c:f>
              <c:strCache>
                <c:ptCount val="1"/>
                <c:pt idx="0">
                  <c:v>Base-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Chart!$I$27:$I$31</c:f>
                <c:numCache>
                  <c:formatCode>General</c:formatCode>
                  <c:ptCount val="5"/>
                  <c:pt idx="0">
                    <c:v>#N/A</c:v>
                  </c:pt>
                  <c:pt idx="1">
                    <c:v>117</c:v>
                  </c:pt>
                  <c:pt idx="2">
                    <c:v>41</c:v>
                  </c:pt>
                  <c:pt idx="3">
                    <c:v>#N/A</c:v>
                  </c:pt>
                  <c:pt idx="4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ln w="317500">
                <a:solidFill>
                  <a:schemeClr val="accent4"/>
                </a:solidFill>
              </a:ln>
            </c:spPr>
          </c:errBars>
          <c:cat>
            <c:strRef>
              <c:f>Chart!$A$27:$A$31</c:f>
              <c:strCache>
                <c:ptCount val="5"/>
                <c:pt idx="0">
                  <c:v>TLDs</c:v>
                </c:pt>
                <c:pt idx="1">
                  <c:v>Completed</c:v>
                </c:pt>
                <c:pt idx="2">
                  <c:v>Follow up req.</c:v>
                </c:pt>
                <c:pt idx="3">
                  <c:v>GR</c:v>
                </c:pt>
                <c:pt idx="4">
                  <c:v>Eng.</c:v>
                </c:pt>
              </c:strCache>
            </c:strRef>
          </c:cat>
          <c:val>
            <c:numRef>
              <c:f>Chart!$G$27:$G$31</c:f>
              <c:numCache>
                <c:formatCode>General</c:formatCode>
                <c:ptCount val="5"/>
                <c:pt idx="0">
                  <c:v>#N/A</c:v>
                </c:pt>
                <c:pt idx="1">
                  <c:v>41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Chart!$D$26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val>
            <c:numRef>
              <c:f>Chart!$D$27:$D$31</c:f>
              <c:numCache>
                <c:formatCode>General</c:formatCode>
                <c:ptCount val="5"/>
                <c:pt idx="0">
                  <c:v>158</c:v>
                </c:pt>
                <c:pt idx="1">
                  <c:v>41</c:v>
                </c:pt>
                <c:pt idx="2">
                  <c:v>0</c:v>
                </c:pt>
                <c:pt idx="3">
                  <c:v>19</c:v>
                </c:pt>
                <c:pt idx="4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3616"/>
        <c:axId val="44465152"/>
      </c:lineChart>
      <c:scatterChart>
        <c:scatterStyle val="lineMarker"/>
        <c:varyColors val="0"/>
        <c:ser>
          <c:idx val="4"/>
          <c:order val="6"/>
          <c:tx>
            <c:strRef>
              <c:f>Chart!$K$26</c:f>
              <c:strCache>
                <c:ptCount val="1"/>
                <c:pt idx="0">
                  <c:v>Lines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 w="12700">
                <a:solidFill>
                  <a:schemeClr val="tx1"/>
                </a:solidFill>
                <a:prstDash val="dash"/>
              </a:ln>
            </c:spPr>
          </c:errBars>
          <c:yVal>
            <c:numRef>
              <c:f>Chart!$K$27:$K$31</c:f>
              <c:numCache>
                <c:formatCode>General</c:formatCode>
                <c:ptCount val="5"/>
                <c:pt idx="0">
                  <c:v>158</c:v>
                </c:pt>
                <c:pt idx="1">
                  <c:v>41</c:v>
                </c:pt>
                <c:pt idx="2">
                  <c:v>0</c:v>
                </c:pt>
                <c:pt idx="3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63616"/>
        <c:axId val="44465152"/>
      </c:scatterChart>
      <c:catAx>
        <c:axId val="44463616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25400"/>
        </c:spPr>
        <c:crossAx val="44465152"/>
        <c:crossesAt val="0"/>
        <c:auto val="1"/>
        <c:lblAlgn val="ctr"/>
        <c:lblOffset val="100"/>
        <c:noMultiLvlLbl val="0"/>
      </c:catAx>
      <c:valAx>
        <c:axId val="44465152"/>
        <c:scaling>
          <c:orientation val="minMax"/>
          <c:max val="200"/>
        </c:scaling>
        <c:delete val="0"/>
        <c:axPos val="l"/>
        <c:numFmt formatCode="General" sourceLinked="1"/>
        <c:majorTickMark val="out"/>
        <c:minorTickMark val="none"/>
        <c:tickLblPos val="nextTo"/>
        <c:crossAx val="44463616"/>
        <c:crosses val="autoZero"/>
        <c:crossBetween val="between"/>
        <c:majorUnit val="50"/>
        <c:minorUnit val="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1</xdr:row>
      <xdr:rowOff>45720</xdr:rowOff>
    </xdr:from>
    <xdr:to>
      <xdr:col>10</xdr:col>
      <xdr:colOff>213360</xdr:colOff>
      <xdr:row>24</xdr:row>
      <xdr:rowOff>83820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/Excel%20-%20Useful/WaterFall%20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"/>
    </sheetNames>
    <sheetDataSet>
      <sheetData sheetId="0" refreshError="1"/>
      <sheetData sheetId="1">
        <row r="26">
          <cell r="D26" t="str">
            <v>Flow</v>
          </cell>
          <cell r="E26" t="str">
            <v>Pillars</v>
          </cell>
          <cell r="F26" t="str">
            <v>Base+</v>
          </cell>
          <cell r="G26" t="str">
            <v>Base-</v>
          </cell>
          <cell r="H26" t="str">
            <v>Delta+</v>
          </cell>
          <cell r="I26" t="str">
            <v>Delta-</v>
          </cell>
          <cell r="J26" t="str">
            <v>Invisible</v>
          </cell>
          <cell r="K26" t="str">
            <v>Lines</v>
          </cell>
        </row>
        <row r="27">
          <cell r="A27" t="str">
            <v>TLDs</v>
          </cell>
          <cell r="D27">
            <v>158</v>
          </cell>
          <cell r="E27">
            <v>158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>
            <v>158</v>
          </cell>
        </row>
        <row r="28">
          <cell r="A28" t="str">
            <v>Completed</v>
          </cell>
          <cell r="D28">
            <v>41</v>
          </cell>
          <cell r="E28" t="e">
            <v>#N/A</v>
          </cell>
          <cell r="F28" t="e">
            <v>#N/A</v>
          </cell>
          <cell r="G28">
            <v>41</v>
          </cell>
          <cell r="H28" t="e">
            <v>#N/A</v>
          </cell>
          <cell r="I28">
            <v>117</v>
          </cell>
          <cell r="J28">
            <v>158</v>
          </cell>
          <cell r="K28">
            <v>41</v>
          </cell>
        </row>
        <row r="29">
          <cell r="A29" t="str">
            <v>Follow up req.</v>
          </cell>
          <cell r="D29">
            <v>0</v>
          </cell>
          <cell r="E29" t="e">
            <v>#N/A</v>
          </cell>
          <cell r="F29" t="e">
            <v>#N/A</v>
          </cell>
          <cell r="G29">
            <v>0</v>
          </cell>
          <cell r="H29" t="e">
            <v>#N/A</v>
          </cell>
          <cell r="I29">
            <v>41</v>
          </cell>
          <cell r="J29">
            <v>41</v>
          </cell>
          <cell r="K29">
            <v>0</v>
          </cell>
        </row>
        <row r="30">
          <cell r="A30" t="str">
            <v>GR</v>
          </cell>
          <cell r="D30">
            <v>19</v>
          </cell>
          <cell r="E30" t="e">
            <v>#N/A</v>
          </cell>
          <cell r="F30">
            <v>19</v>
          </cell>
          <cell r="G30" t="e">
            <v>#N/A</v>
          </cell>
          <cell r="H30">
            <v>19</v>
          </cell>
          <cell r="I30" t="e">
            <v>#N/A</v>
          </cell>
          <cell r="J30">
            <v>19</v>
          </cell>
          <cell r="K30">
            <v>19</v>
          </cell>
        </row>
        <row r="31">
          <cell r="A31" t="str">
            <v>Eng.</v>
          </cell>
          <cell r="D31">
            <v>41</v>
          </cell>
          <cell r="E31" t="e">
            <v>#N/A</v>
          </cell>
          <cell r="F31">
            <v>41</v>
          </cell>
          <cell r="G31" t="e">
            <v>#N/A</v>
          </cell>
          <cell r="H31">
            <v>22</v>
          </cell>
          <cell r="I31" t="e">
            <v>#N/A</v>
          </cell>
          <cell r="J31">
            <v>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9"/>
  <sheetViews>
    <sheetView tabSelected="1" workbookViewId="0">
      <selection activeCell="I12" sqref="I12"/>
    </sheetView>
  </sheetViews>
  <sheetFormatPr defaultRowHeight="15"/>
  <cols>
    <col min="1" max="1" width="45.140625" bestFit="1" customWidth="1"/>
    <col min="2" max="2" width="9" customWidth="1"/>
    <col min="3" max="3" width="8.140625" bestFit="1" customWidth="1"/>
    <col min="4" max="4" width="13.85546875" bestFit="1" customWidth="1"/>
    <col min="5" max="5" width="10.140625" style="4" bestFit="1" customWidth="1"/>
    <col min="6" max="6" width="13.85546875" bestFit="1" customWidth="1"/>
    <col min="7" max="7" width="11" bestFit="1" customWidth="1"/>
  </cols>
  <sheetData>
    <row r="1" spans="1:9" s="1" customFormat="1">
      <c r="A1" s="2" t="s">
        <v>1</v>
      </c>
      <c r="B1" s="3" t="s">
        <v>0</v>
      </c>
      <c r="C1" s="2" t="s">
        <v>1</v>
      </c>
      <c r="D1" s="1" t="s">
        <v>2</v>
      </c>
    </row>
    <row r="2" spans="1:9">
      <c r="A2" s="5"/>
      <c r="E2"/>
    </row>
    <row r="3" spans="1:9">
      <c r="A3" s="5"/>
      <c r="E3"/>
    </row>
    <row r="4" spans="1:9">
      <c r="A4" s="5"/>
      <c r="E4"/>
    </row>
    <row r="5" spans="1:9">
      <c r="A5" s="5"/>
      <c r="E5"/>
    </row>
    <row r="6" spans="1:9">
      <c r="A6" s="5"/>
      <c r="E6"/>
    </row>
    <row r="7" spans="1:9">
      <c r="A7" s="5"/>
      <c r="E7"/>
    </row>
    <row r="8" spans="1:9">
      <c r="A8" s="5"/>
      <c r="E8"/>
    </row>
    <row r="9" spans="1:9">
      <c r="A9" s="5"/>
      <c r="E9"/>
    </row>
    <row r="10" spans="1:9">
      <c r="A10" s="5"/>
      <c r="E10"/>
    </row>
    <row r="11" spans="1:9">
      <c r="A11" s="5"/>
      <c r="E11"/>
      <c r="I11" t="s">
        <v>20</v>
      </c>
    </row>
    <row r="12" spans="1:9">
      <c r="A12" s="5"/>
      <c r="E12"/>
    </row>
    <row r="13" spans="1:9">
      <c r="A13" s="5"/>
      <c r="E13"/>
    </row>
    <row r="14" spans="1:9">
      <c r="A14" s="5"/>
      <c r="E14"/>
    </row>
    <row r="15" spans="1:9">
      <c r="A15" s="5"/>
      <c r="E15"/>
    </row>
    <row r="16" spans="1:9">
      <c r="A16" s="5"/>
      <c r="E16"/>
    </row>
    <row r="17" spans="1:5">
      <c r="A17" s="5"/>
      <c r="E17"/>
    </row>
    <row r="18" spans="1:5">
      <c r="A18" s="5"/>
      <c r="E18"/>
    </row>
    <row r="19" spans="1:5">
      <c r="A19" s="5"/>
      <c r="E19"/>
    </row>
    <row r="20" spans="1:5">
      <c r="A20" s="5"/>
      <c r="E20"/>
    </row>
    <row r="21" spans="1:5">
      <c r="A21" s="5"/>
      <c r="E21"/>
    </row>
    <row r="22" spans="1:5">
      <c r="A22" s="5"/>
      <c r="E22"/>
    </row>
    <row r="23" spans="1:5">
      <c r="A23" s="5"/>
      <c r="E23"/>
    </row>
    <row r="24" spans="1:5">
      <c r="A24" s="5"/>
      <c r="E24"/>
    </row>
    <row r="25" spans="1:5">
      <c r="A25" s="5"/>
      <c r="E25"/>
    </row>
    <row r="26" spans="1:5">
      <c r="A26" s="5"/>
      <c r="E26"/>
    </row>
    <row r="27" spans="1:5">
      <c r="A27" s="5"/>
      <c r="E27"/>
    </row>
    <row r="28" spans="1:5">
      <c r="A28" s="5"/>
      <c r="E28"/>
    </row>
    <row r="29" spans="1:5">
      <c r="A29" s="5"/>
      <c r="E29"/>
    </row>
    <row r="30" spans="1:5">
      <c r="A30" s="5"/>
      <c r="E30"/>
    </row>
    <row r="31" spans="1:5">
      <c r="A31" s="5"/>
      <c r="E31"/>
    </row>
    <row r="32" spans="1:5">
      <c r="A32" s="5"/>
      <c r="E32"/>
    </row>
    <row r="33" spans="1:5">
      <c r="A33" s="5"/>
      <c r="E33"/>
    </row>
    <row r="34" spans="1:5">
      <c r="A34" s="5"/>
      <c r="E34"/>
    </row>
    <row r="35" spans="1:5">
      <c r="A35" s="5"/>
      <c r="E35"/>
    </row>
    <row r="36" spans="1:5">
      <c r="A36" s="5"/>
      <c r="E36"/>
    </row>
    <row r="37" spans="1:5">
      <c r="A37" s="5"/>
      <c r="E37"/>
    </row>
    <row r="38" spans="1:5">
      <c r="A38" s="5"/>
      <c r="E38"/>
    </row>
    <row r="39" spans="1:5">
      <c r="A39" s="5"/>
      <c r="E39"/>
    </row>
    <row r="40" spans="1:5">
      <c r="A40" s="5"/>
      <c r="E40"/>
    </row>
    <row r="41" spans="1:5">
      <c r="A41" s="5"/>
      <c r="E41"/>
    </row>
    <row r="42" spans="1:5">
      <c r="A42" s="5"/>
      <c r="E42"/>
    </row>
    <row r="43" spans="1:5">
      <c r="A43" s="5"/>
      <c r="E43"/>
    </row>
    <row r="44" spans="1:5">
      <c r="A44" s="5"/>
      <c r="E44"/>
    </row>
    <row r="45" spans="1:5">
      <c r="A45" s="5"/>
      <c r="E45"/>
    </row>
    <row r="46" spans="1:5">
      <c r="A46" s="5"/>
      <c r="E46"/>
    </row>
    <row r="47" spans="1:5">
      <c r="A47" s="5"/>
      <c r="E47"/>
    </row>
    <row r="48" spans="1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3:M31"/>
  <sheetViews>
    <sheetView showGridLines="0" zoomScaleNormal="100" workbookViewId="0">
      <selection activeCell="O20" sqref="O20"/>
    </sheetView>
  </sheetViews>
  <sheetFormatPr defaultRowHeight="15"/>
  <cols>
    <col min="1" max="1" width="19.140625" style="7" customWidth="1"/>
    <col min="2" max="2" width="6" style="7" customWidth="1"/>
    <col min="3" max="4" width="9.42578125" style="7" customWidth="1"/>
    <col min="5" max="11" width="7.140625" style="7" customWidth="1"/>
    <col min="12" max="12" width="5.28515625" style="7" customWidth="1"/>
    <col min="13" max="13" width="23.42578125" style="7" customWidth="1"/>
    <col min="14" max="16384" width="9.140625" style="7"/>
  </cols>
  <sheetData>
    <row r="3" spans="13:13">
      <c r="M3" s="6"/>
    </row>
    <row r="4" spans="13:13">
      <c r="M4" s="8"/>
    </row>
    <row r="6" spans="13:13">
      <c r="M6" s="9"/>
    </row>
    <row r="7" spans="13:13">
      <c r="M7" s="10"/>
    </row>
    <row r="8" spans="13:13">
      <c r="M8" s="10"/>
    </row>
    <row r="9" spans="13:13">
      <c r="M9" s="10"/>
    </row>
    <row r="10" spans="13:13">
      <c r="M10" s="10"/>
    </row>
    <row r="11" spans="13:13">
      <c r="M11" s="10"/>
    </row>
    <row r="13" spans="13:13">
      <c r="M13" s="10"/>
    </row>
    <row r="14" spans="13:13">
      <c r="M14" s="10"/>
    </row>
    <row r="15" spans="13:13">
      <c r="M15" s="10"/>
    </row>
    <row r="16" spans="13:13">
      <c r="M16" s="10"/>
    </row>
    <row r="17" spans="1:13">
      <c r="M17" s="10"/>
    </row>
    <row r="18" spans="1:13">
      <c r="M18" s="10"/>
    </row>
    <row r="19" spans="1:13">
      <c r="M19" s="10"/>
    </row>
    <row r="20" spans="1:13">
      <c r="M20" s="10"/>
    </row>
    <row r="21" spans="1:13">
      <c r="M21" s="10"/>
    </row>
    <row r="22" spans="1:13">
      <c r="M22" s="10"/>
    </row>
    <row r="23" spans="1:13">
      <c r="M23" s="10"/>
    </row>
    <row r="24" spans="1:13">
      <c r="M24" s="10"/>
    </row>
    <row r="25" spans="1:13">
      <c r="M25" s="10"/>
    </row>
    <row r="26" spans="1:13" ht="15.75">
      <c r="A26" s="11" t="s">
        <v>3</v>
      </c>
      <c r="B26" s="12" t="s">
        <v>4</v>
      </c>
      <c r="C26" s="13" t="s">
        <v>5</v>
      </c>
      <c r="D26" s="13" t="s">
        <v>6</v>
      </c>
      <c r="E26" s="14" t="s">
        <v>7</v>
      </c>
      <c r="F26" s="14" t="s">
        <v>8</v>
      </c>
      <c r="G26" s="14" t="s">
        <v>9</v>
      </c>
      <c r="H26" s="14" t="s">
        <v>10</v>
      </c>
      <c r="I26" s="14" t="s">
        <v>11</v>
      </c>
      <c r="J26" s="14" t="s">
        <v>12</v>
      </c>
      <c r="K26" s="14" t="s">
        <v>13</v>
      </c>
      <c r="L26" s="15"/>
    </row>
    <row r="27" spans="1:13" ht="15.75">
      <c r="A27" s="16" t="s">
        <v>14</v>
      </c>
      <c r="B27" s="17" t="s">
        <v>15</v>
      </c>
      <c r="C27" s="16">
        <v>158</v>
      </c>
      <c r="D27" s="18">
        <f>C27</f>
        <v>158</v>
      </c>
      <c r="E27" s="19">
        <f t="shared" ref="E27:E31" si="0">IF(B27="x",D27,NA())</f>
        <v>158</v>
      </c>
      <c r="F27" s="19" t="e">
        <f>NA()</f>
        <v>#N/A</v>
      </c>
      <c r="G27" s="19" t="e">
        <f>NA()</f>
        <v>#N/A</v>
      </c>
      <c r="H27" s="19" t="e">
        <f>NA()</f>
        <v>#N/A</v>
      </c>
      <c r="I27" s="19" t="e">
        <f>NA()</f>
        <v>#N/A</v>
      </c>
      <c r="J27" s="19" t="e">
        <f>NA()</f>
        <v>#N/A</v>
      </c>
      <c r="K27" s="19">
        <f>D27</f>
        <v>158</v>
      </c>
      <c r="L27" s="15"/>
    </row>
    <row r="28" spans="1:13" ht="15.75">
      <c r="A28" s="20" t="s">
        <v>16</v>
      </c>
      <c r="B28" s="21"/>
      <c r="C28" s="22">
        <f>-71-46</f>
        <v>-117</v>
      </c>
      <c r="D28" s="23">
        <f ca="1">OFFSET(D28,-1,0,1,1)+C28</f>
        <v>41</v>
      </c>
      <c r="E28" s="24" t="e">
        <f t="shared" si="0"/>
        <v>#N/A</v>
      </c>
      <c r="F28" s="24" t="e">
        <f t="shared" ref="F28:F31" ca="1" si="1">D28+H28-H28</f>
        <v>#N/A</v>
      </c>
      <c r="G28" s="24">
        <f t="shared" ref="G28:G31" ca="1" si="2">D28+I28-I28</f>
        <v>41</v>
      </c>
      <c r="H28" s="24" t="e">
        <f t="shared" ref="H28:H31" si="3">IF(B28="x",NA(),IF(C28&gt;=0,C28,NA()))</f>
        <v>#N/A</v>
      </c>
      <c r="I28" s="24">
        <f t="shared" ref="I28:I31" si="4">IF(B28="x",NA(),IF(C28&lt;0,-C28,NA()))</f>
        <v>117</v>
      </c>
      <c r="J28" s="24">
        <f ca="1">IF(B28="x",NA(),IF(MAX(D28,D28-C28)&lt;0,0,MAX(D28,D28-C28)))</f>
        <v>158</v>
      </c>
      <c r="K28" s="24">
        <f t="shared" ref="K28:K30" ca="1" si="5">D28</f>
        <v>41</v>
      </c>
      <c r="L28" s="15"/>
      <c r="M28" s="10"/>
    </row>
    <row r="29" spans="1:13" ht="15.75">
      <c r="A29" s="22" t="s">
        <v>17</v>
      </c>
      <c r="B29" s="21"/>
      <c r="C29" s="22">
        <f>-87+46</f>
        <v>-41</v>
      </c>
      <c r="D29" s="23">
        <f t="shared" ref="D29:D31" ca="1" si="6">OFFSET(D29,-1,0,1,1)+C29</f>
        <v>0</v>
      </c>
      <c r="E29" s="24" t="e">
        <f t="shared" si="0"/>
        <v>#N/A</v>
      </c>
      <c r="F29" s="24" t="e">
        <f t="shared" ca="1" si="1"/>
        <v>#N/A</v>
      </c>
      <c r="G29" s="24">
        <f t="shared" ca="1" si="2"/>
        <v>0</v>
      </c>
      <c r="H29" s="24" t="e">
        <f t="shared" si="3"/>
        <v>#N/A</v>
      </c>
      <c r="I29" s="24">
        <f t="shared" si="4"/>
        <v>41</v>
      </c>
      <c r="J29" s="24">
        <f t="shared" ref="J29:J31" ca="1" si="7">IF(B29="x",NA(),IF(MAX(D29,D29-C29)&lt;0,0,MAX(D29,D29-C29)))</f>
        <v>41</v>
      </c>
      <c r="K29" s="24">
        <f t="shared" ca="1" si="5"/>
        <v>0</v>
      </c>
      <c r="L29" s="15"/>
      <c r="M29" s="10"/>
    </row>
    <row r="30" spans="1:13" ht="15.75">
      <c r="A30" s="25" t="s">
        <v>18</v>
      </c>
      <c r="B30" s="21"/>
      <c r="C30" s="26">
        <v>19</v>
      </c>
      <c r="D30" s="23">
        <f t="shared" ca="1" si="6"/>
        <v>19</v>
      </c>
      <c r="E30" s="24" t="e">
        <f t="shared" si="0"/>
        <v>#N/A</v>
      </c>
      <c r="F30" s="24">
        <f t="shared" ca="1" si="1"/>
        <v>19</v>
      </c>
      <c r="G30" s="24" t="e">
        <f t="shared" ca="1" si="2"/>
        <v>#N/A</v>
      </c>
      <c r="H30" s="24">
        <f t="shared" si="3"/>
        <v>19</v>
      </c>
      <c r="I30" s="24" t="e">
        <f t="shared" si="4"/>
        <v>#N/A</v>
      </c>
      <c r="J30" s="24">
        <f t="shared" ca="1" si="7"/>
        <v>19</v>
      </c>
      <c r="K30" s="24">
        <f t="shared" ca="1" si="5"/>
        <v>19</v>
      </c>
      <c r="L30" s="15"/>
      <c r="M30" s="10"/>
    </row>
    <row r="31" spans="1:13" ht="15.75">
      <c r="A31" s="22" t="s">
        <v>19</v>
      </c>
      <c r="B31" s="21"/>
      <c r="C31" s="22">
        <v>22</v>
      </c>
      <c r="D31" s="23">
        <f t="shared" ca="1" si="6"/>
        <v>41</v>
      </c>
      <c r="E31" s="24" t="e">
        <f t="shared" si="0"/>
        <v>#N/A</v>
      </c>
      <c r="F31" s="24">
        <f t="shared" ca="1" si="1"/>
        <v>41</v>
      </c>
      <c r="G31" s="24" t="e">
        <f t="shared" ca="1" si="2"/>
        <v>#N/A</v>
      </c>
      <c r="H31" s="24">
        <f t="shared" si="3"/>
        <v>22</v>
      </c>
      <c r="I31" s="24" t="e">
        <f t="shared" si="4"/>
        <v>#N/A</v>
      </c>
      <c r="J31" s="24">
        <f t="shared" ca="1" si="7"/>
        <v>41</v>
      </c>
      <c r="K31" s="24"/>
      <c r="L31" s="15"/>
      <c r="M31" s="10"/>
    </row>
  </sheetData>
  <conditionalFormatting sqref="K27:K31 D27:I31">
    <cfRule type="expression" dxfId="1" priority="2">
      <formula>ISERROR(D27)</formula>
    </cfRule>
  </conditionalFormatting>
  <conditionalFormatting sqref="J27:J31">
    <cfRule type="expression" dxfId="0" priority="1">
      <formula>ISERROR(J27)</formula>
    </cfRule>
  </conditionalFormatting>
  <pageMargins left="0.7" right="0.7" top="0.25" bottom="0.75" header="0.3" footer="0.3"/>
  <pageSetup fitToHeight="0" orientation="portrait" r:id="rId1"/>
  <headerFooter>
    <oddFooter>&amp;L&amp;"Arial,Regular"&amp;8&amp;K01+049http://www.vertex42.com/ExcelTemplates/waterfall-chart.html&amp;R&amp;"Arial,Regular"&amp;8&amp;K01+049Waterfall Chart Template by Vertex42.com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RawData</vt:lpstr>
      <vt:lpstr>Chart</vt:lpstr>
      <vt:lpstr>Chart!Print_Area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Leitão</dc:creator>
  <cp:lastModifiedBy>Leitao, Nuno (PMPA)</cp:lastModifiedBy>
  <cp:lastPrinted>2012-12-07T01:31:10Z</cp:lastPrinted>
  <dcterms:created xsi:type="dcterms:W3CDTF">2012-04-11T07:24:46Z</dcterms:created>
  <dcterms:modified xsi:type="dcterms:W3CDTF">2018-09-21T13:13:56Z</dcterms:modified>
</cp:coreProperties>
</file>