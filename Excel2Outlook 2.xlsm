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" yWindow="150" windowWidth="17835" windowHeight="6885" activeTab="1"/>
  </bookViews>
  <sheets>
    <sheet name="KW5" sheetId="1" r:id="rId1"/>
    <sheet name="KW6" sheetId="2" r:id="rId2"/>
  </sheets>
  <definedNames>
    <definedName name="_xlnm.Print_Area" localSheetId="0">'KW5'!$A$1:$T$31</definedName>
    <definedName name="Z_18F37246_3BE4_4159_ACDD_F1033D0770D3_.wvu.PrintArea" localSheetId="0" hidden="1">'KW5'!$A$1:$T$31</definedName>
    <definedName name="Z_B2EFFC26_BB41_4DD8_9FDA_0ADF4385026F_.wvu.PrintArea" localSheetId="0" hidden="1">'KW5'!$A$1:$T$31</definedName>
    <definedName name="Z_D10674BC_7251_4C6D_855E_5D19ED2F13E3_.wvu.PrintArea" localSheetId="0" hidden="1">'KW5'!$A$1:$T$31</definedName>
  </definedNames>
  <calcPr calcId="145621"/>
  <customWorkbookViews>
    <customWorkbookView name="Leitao, Nuno (PMPA) - Personal View" guid="{18F37246-3BE4-4159-ACDD-F1033D0770D3}" mergeInterval="0" personalView="1" maximized="1" windowWidth="1920" windowHeight="957" activeSheetId="2"/>
    <customWorkbookView name="Benn, Chris (PMAM1) - Personal View" guid="{D10674BC-7251-4C6D-855E-5D19ED2F13E3}" mergeInterval="0" personalView="1" maximized="1" windowWidth="1594" windowHeight="795" activeSheetId="2"/>
    <customWorkbookView name="Gaffney, Michael (PMAM2) - Personal View" guid="{B2EFFC26-BB41-4DD8-9FDA-0ADF4385026F}" mergeInterval="0" personalView="1" maximized="1" windowWidth="1920" windowHeight="855" activeSheetId="2"/>
  </customWorkbookViews>
</workbook>
</file>

<file path=xl/calcChain.xml><?xml version="1.0" encoding="utf-8"?>
<calcChain xmlns="http://schemas.openxmlformats.org/spreadsheetml/2006/main">
  <c r="U11" i="2" l="1"/>
  <c r="U29" i="1" l="1"/>
  <c r="U27" i="1"/>
  <c r="U26" i="1"/>
  <c r="U25" i="1"/>
  <c r="U22" i="1"/>
  <c r="U21" i="1"/>
  <c r="U19" i="1"/>
  <c r="U18" i="1"/>
  <c r="U17" i="1"/>
  <c r="U15" i="1"/>
  <c r="U14" i="1"/>
  <c r="U13" i="1"/>
  <c r="U12" i="1"/>
  <c r="U10" i="1"/>
  <c r="U9" i="1"/>
  <c r="U8" i="1"/>
  <c r="U11" i="1"/>
  <c r="U16" i="1"/>
  <c r="U20" i="1"/>
  <c r="U23" i="1"/>
  <c r="U24" i="1"/>
  <c r="U28" i="1"/>
  <c r="U30" i="1"/>
  <c r="U31" i="1"/>
  <c r="U7" i="1"/>
  <c r="U31" i="2" l="1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0" i="2"/>
  <c r="U9" i="2"/>
  <c r="U8" i="2"/>
  <c r="X8" i="2" s="1"/>
  <c r="U7" i="2"/>
  <c r="X9" i="2" l="1"/>
  <c r="X7" i="2"/>
  <c r="U32" i="2"/>
  <c r="U32" i="1"/>
  <c r="X10" i="2" l="1"/>
</calcChain>
</file>

<file path=xl/comments1.xml><?xml version="1.0" encoding="utf-8"?>
<comments xmlns="http://schemas.openxmlformats.org/spreadsheetml/2006/main">
  <authors>
    <author>Von Dinther, Christine (PMAM2)</author>
    <author>Gaffney, Michael (PMAM2)</author>
    <author>Benn, Chris (PMAM1)</author>
  </authors>
  <commentList>
    <comment ref="O7" authorId="0">
      <text>
        <r>
          <rPr>
            <b/>
            <sz val="9"/>
            <color indexed="81"/>
            <rFont val="Tahoma"/>
            <family val="2"/>
          </rPr>
          <t>Von Dinther, Christine (PMAM2):</t>
        </r>
        <r>
          <rPr>
            <sz val="9"/>
            <color indexed="81"/>
            <rFont val="Tahoma"/>
            <family val="2"/>
          </rPr>
          <t xml:space="preserve">
3RD PARTY</t>
        </r>
      </text>
    </comment>
    <comment ref="K12" authorId="1">
      <text>
        <r>
          <rPr>
            <b/>
            <sz val="9"/>
            <color indexed="81"/>
            <rFont val="Tahoma"/>
            <family val="2"/>
          </rPr>
          <t>Gaffney, Michael (PMAM2):</t>
        </r>
        <r>
          <rPr>
            <sz val="9"/>
            <color indexed="81"/>
            <rFont val="Tahoma"/>
            <family val="2"/>
          </rPr>
          <t xml:space="preserve">
Third party family illness</t>
        </r>
      </text>
    </comment>
    <comment ref="G14" authorId="0">
      <text>
        <r>
          <rPr>
            <b/>
            <sz val="9"/>
            <color indexed="81"/>
            <rFont val="Tahoma"/>
            <family val="2"/>
          </rPr>
          <t>Von Dinther, Christine (PMAM2):</t>
        </r>
        <r>
          <rPr>
            <sz val="9"/>
            <color indexed="81"/>
            <rFont val="Tahoma"/>
            <family val="2"/>
          </rPr>
          <t xml:space="preserve">
HOLIDAY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Von Dinther, Christine (PMAM2):</t>
        </r>
        <r>
          <rPr>
            <sz val="9"/>
            <color indexed="81"/>
            <rFont val="Tahoma"/>
            <family val="2"/>
          </rPr>
          <t xml:space="preserve">
TOIL</t>
        </r>
      </text>
    </comment>
    <comment ref="I17" authorId="2">
      <text>
        <r>
          <rPr>
            <b/>
            <sz val="9"/>
            <color indexed="81"/>
            <rFont val="Tahoma"/>
            <family val="2"/>
          </rPr>
          <t>3rd party leave</t>
        </r>
      </text>
    </comment>
    <comment ref="J17" authorId="2">
      <text>
        <r>
          <rPr>
            <b/>
            <sz val="9"/>
            <color indexed="81"/>
            <rFont val="Tahoma"/>
            <family val="2"/>
          </rPr>
          <t>3rd party leave</t>
        </r>
      </text>
    </comment>
  </commentList>
</comments>
</file>

<file path=xl/comments2.xml><?xml version="1.0" encoding="utf-8"?>
<comments xmlns="http://schemas.openxmlformats.org/spreadsheetml/2006/main">
  <authors>
    <author>Gaffney, Michael (PMAM2)</author>
    <author>Von Dinther, Christine (PMAM2)</author>
  </authors>
  <commentList>
    <comment ref="G9" authorId="0">
      <text>
        <r>
          <rPr>
            <b/>
            <sz val="9"/>
            <color indexed="81"/>
            <rFont val="Tahoma"/>
            <family val="2"/>
          </rPr>
          <t>Gaffney, Michael (PMAM2):</t>
        </r>
        <r>
          <rPr>
            <sz val="9"/>
            <color indexed="81"/>
            <rFont val="Tahoma"/>
            <family val="2"/>
          </rPr>
          <t xml:space="preserve">
HOLI
</t>
        </r>
      </text>
    </comment>
    <comment ref="H9" authorId="0">
      <text>
        <r>
          <rPr>
            <b/>
            <sz val="9"/>
            <color indexed="81"/>
            <rFont val="Tahoma"/>
            <family val="2"/>
          </rPr>
          <t>Gaffney, Michael (PMAM2):</t>
        </r>
        <r>
          <rPr>
            <sz val="9"/>
            <color indexed="81"/>
            <rFont val="Tahoma"/>
            <family val="2"/>
          </rPr>
          <t xml:space="preserve">
Toil
</t>
        </r>
      </text>
    </comment>
    <comment ref="G18" authorId="1">
      <text>
        <r>
          <rPr>
            <b/>
            <sz val="9"/>
            <color indexed="81"/>
            <rFont val="Tahoma"/>
            <family val="2"/>
          </rPr>
          <t>Von Dinther, Christine (PMAM2):</t>
        </r>
        <r>
          <rPr>
            <sz val="9"/>
            <color indexed="81"/>
            <rFont val="Tahoma"/>
            <family val="2"/>
          </rPr>
          <t xml:space="preserve">
HOLIDAY</t>
        </r>
      </text>
    </comment>
    <comment ref="H18" authorId="1">
      <text>
        <r>
          <rPr>
            <b/>
            <sz val="9"/>
            <color indexed="81"/>
            <rFont val="Tahoma"/>
            <family val="2"/>
          </rPr>
          <t>Von Dinther, Christine (PMAM2):</t>
        </r>
        <r>
          <rPr>
            <sz val="9"/>
            <color indexed="81"/>
            <rFont val="Tahoma"/>
            <family val="2"/>
          </rPr>
          <t xml:space="preserve">
HOLIDAY</t>
        </r>
      </text>
    </comment>
    <comment ref="I22" authorId="0">
      <text>
        <r>
          <rPr>
            <b/>
            <sz val="9"/>
            <color indexed="81"/>
            <rFont val="Tahoma"/>
            <family val="2"/>
          </rPr>
          <t>Gaffney, Michael (PMAM2):</t>
        </r>
        <r>
          <rPr>
            <sz val="9"/>
            <color indexed="81"/>
            <rFont val="Tahoma"/>
            <family val="2"/>
          </rPr>
          <t xml:space="preserve">
MEDA
</t>
        </r>
      </text>
    </comment>
    <comment ref="J22" authorId="0">
      <text>
        <r>
          <rPr>
            <b/>
            <sz val="9"/>
            <color indexed="81"/>
            <rFont val="Tahoma"/>
            <family val="2"/>
          </rPr>
          <t>Gaffney, Michael (PMAM2):</t>
        </r>
        <r>
          <rPr>
            <sz val="9"/>
            <color indexed="81"/>
            <rFont val="Tahoma"/>
            <family val="2"/>
          </rPr>
          <t xml:space="preserve">
MEDA
</t>
        </r>
      </text>
    </comment>
  </commentList>
</comments>
</file>

<file path=xl/sharedStrings.xml><?xml version="1.0" encoding="utf-8"?>
<sst xmlns="http://schemas.openxmlformats.org/spreadsheetml/2006/main" count="277" uniqueCount="82">
  <si>
    <t>Org Unit</t>
  </si>
  <si>
    <t>Assembly Mulsanne-Unit Da</t>
  </si>
  <si>
    <t>Week</t>
  </si>
  <si>
    <t>Cost Centre</t>
  </si>
  <si>
    <t>Ending</t>
  </si>
  <si>
    <t>Manager</t>
  </si>
  <si>
    <t>Michael Gaffney</t>
  </si>
  <si>
    <t>SURNAME</t>
  </si>
  <si>
    <t>FIRST NAME</t>
  </si>
  <si>
    <t>SAP No.</t>
  </si>
  <si>
    <t>Lvl</t>
  </si>
  <si>
    <t>Shift</t>
  </si>
  <si>
    <t>OT to TOIL</t>
  </si>
  <si>
    <t>Absence/OT</t>
  </si>
  <si>
    <t>Salt</t>
  </si>
  <si>
    <t>Russ</t>
  </si>
  <si>
    <t>L1</t>
  </si>
  <si>
    <t>DAY05</t>
  </si>
  <si>
    <t>Benn</t>
  </si>
  <si>
    <t>Chris</t>
  </si>
  <si>
    <t>L2</t>
  </si>
  <si>
    <t>Simpson</t>
  </si>
  <si>
    <t>Antony</t>
  </si>
  <si>
    <t>Von Dinther</t>
  </si>
  <si>
    <t>Christine</t>
  </si>
  <si>
    <t>Baynham</t>
  </si>
  <si>
    <t>Keith</t>
  </si>
  <si>
    <t>DAYMF2</t>
  </si>
  <si>
    <t>Casey</t>
  </si>
  <si>
    <t>Michael</t>
  </si>
  <si>
    <t>Colclough</t>
  </si>
  <si>
    <t>John</t>
  </si>
  <si>
    <t>Evans</t>
  </si>
  <si>
    <t>Julie</t>
  </si>
  <si>
    <t>Ford</t>
  </si>
  <si>
    <t>Adrian</t>
  </si>
  <si>
    <t>Goodwin</t>
  </si>
  <si>
    <t>Rich</t>
  </si>
  <si>
    <t>Harrop</t>
  </si>
  <si>
    <t>James</t>
  </si>
  <si>
    <t>Jennings</t>
  </si>
  <si>
    <t>Steve</t>
  </si>
  <si>
    <t>Kay</t>
  </si>
  <si>
    <t>Adam</t>
  </si>
  <si>
    <t>Miller</t>
  </si>
  <si>
    <t>Graham</t>
  </si>
  <si>
    <t>O'Grady</t>
  </si>
  <si>
    <t>Joseph</t>
  </si>
  <si>
    <t>Porter</t>
  </si>
  <si>
    <t>Andy</t>
  </si>
  <si>
    <t>Potts</t>
  </si>
  <si>
    <t>Mark</t>
  </si>
  <si>
    <t>Roberts</t>
  </si>
  <si>
    <t>Alex</t>
  </si>
  <si>
    <t>Rushton</t>
  </si>
  <si>
    <t>Smith</t>
  </si>
  <si>
    <t>Derek</t>
  </si>
  <si>
    <t>DDAM2</t>
  </si>
  <si>
    <t>Robert</t>
  </si>
  <si>
    <t>Spurrier</t>
  </si>
  <si>
    <t>Andrew</t>
  </si>
  <si>
    <t>Wootton</t>
  </si>
  <si>
    <t>Kevin</t>
  </si>
  <si>
    <t>DAYMF1</t>
  </si>
  <si>
    <t>Mellor</t>
  </si>
  <si>
    <t>Catriona</t>
  </si>
  <si>
    <t>C</t>
  </si>
  <si>
    <t>Total</t>
  </si>
  <si>
    <t>04.02.2018</t>
  </si>
  <si>
    <t>Mon</t>
  </si>
  <si>
    <t>Tue</t>
  </si>
  <si>
    <t>Wed</t>
  </si>
  <si>
    <t>Thu</t>
  </si>
  <si>
    <t>Fri</t>
  </si>
  <si>
    <t>Sat</t>
  </si>
  <si>
    <t>Sun</t>
  </si>
  <si>
    <t>X</t>
  </si>
  <si>
    <t>x</t>
  </si>
  <si>
    <t>11.02.2018</t>
  </si>
  <si>
    <t>C Von Dinther</t>
  </si>
  <si>
    <t>C  Benn</t>
  </si>
  <si>
    <t>T Simpson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</si>
</sst>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0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6"/>
      <color theme="1"/>
      <name val="Arial"/>
      <family val="2"/>
    </font>
    <font>
      <u val="singleAccounting"/>
      <sz val="16"/>
      <color theme="1"/>
      <name val="Arial"/>
      <family val="2"/>
    </font>
    <font>
      <b/>
      <sz val="16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2">
    <xf numFmtId="0" fontId="0" fillId="0" borderId="0" xfId="0"/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43" fontId="4" fillId="0" borderId="18" xfId="1" applyFont="1" applyBorder="1" applyAlignment="1">
      <alignment horizontal="center" vertical="center"/>
    </xf>
    <xf numFmtId="43" fontId="5" fillId="3" borderId="19" xfId="1" applyFont="1" applyFill="1" applyBorder="1" applyAlignment="1">
      <alignment horizontal="center" vertical="center"/>
    </xf>
    <xf numFmtId="43" fontId="4" fillId="3" borderId="19" xfId="1" applyFont="1" applyFill="1" applyBorder="1" applyAlignment="1">
      <alignment horizontal="center" vertical="center"/>
    </xf>
    <xf numFmtId="43" fontId="5" fillId="0" borderId="19" xfId="1" applyFont="1" applyBorder="1" applyAlignment="1">
      <alignment horizontal="center" vertical="center"/>
    </xf>
    <xf numFmtId="43" fontId="4" fillId="0" borderId="19" xfId="1" applyFont="1" applyBorder="1" applyAlignment="1">
      <alignment horizontal="center" vertical="center"/>
    </xf>
    <xf numFmtId="43" fontId="4" fillId="4" borderId="16" xfId="0" applyNumberFormat="1" applyFont="1" applyFill="1" applyBorder="1" applyAlignment="1">
      <alignment horizontal="center" vertical="center"/>
    </xf>
    <xf numFmtId="43" fontId="5" fillId="0" borderId="18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3" fontId="4" fillId="4" borderId="0" xfId="0" applyNumberFormat="1" applyFont="1" applyFill="1" applyAlignment="1">
      <alignment horizontal="center" vertical="center"/>
    </xf>
    <xf numFmtId="0" fontId="6" fillId="2" borderId="18" xfId="0" applyFont="1" applyFill="1" applyBorder="1" applyAlignment="1">
      <alignment horizontal="left"/>
    </xf>
    <xf numFmtId="0" fontId="3" fillId="2" borderId="1" xfId="0" applyFont="1" applyFill="1" applyBorder="1" applyAlignment="1" applyProtection="1">
      <alignment horizontal="right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" fillId="2" borderId="4" xfId="0" applyFont="1" applyFill="1" applyBorder="1" applyAlignment="1" applyProtection="1">
      <alignment horizontal="right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 wrapText="1"/>
      <protection locked="0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6" fillId="2" borderId="18" xfId="0" applyFont="1" applyFill="1" applyBorder="1" applyAlignment="1" applyProtection="1">
      <alignment horizontal="left"/>
      <protection locked="0"/>
    </xf>
    <xf numFmtId="43" fontId="4" fillId="0" borderId="18" xfId="1" applyFont="1" applyBorder="1" applyAlignment="1" applyProtection="1">
      <alignment horizontal="center" vertical="center"/>
      <protection locked="0"/>
    </xf>
    <xf numFmtId="43" fontId="5" fillId="3" borderId="19" xfId="1" applyFont="1" applyFill="1" applyBorder="1" applyAlignment="1" applyProtection="1">
      <alignment horizontal="center" vertical="center"/>
      <protection locked="0"/>
    </xf>
    <xf numFmtId="43" fontId="4" fillId="3" borderId="19" xfId="1" applyFont="1" applyFill="1" applyBorder="1" applyAlignment="1" applyProtection="1">
      <alignment horizontal="center" vertical="center"/>
      <protection locked="0"/>
    </xf>
    <xf numFmtId="43" fontId="5" fillId="0" borderId="19" xfId="1" applyFont="1" applyBorder="1" applyAlignment="1" applyProtection="1">
      <alignment horizontal="center" vertical="center"/>
      <protection locked="0"/>
    </xf>
    <xf numFmtId="43" fontId="4" fillId="0" borderId="19" xfId="1" applyFont="1" applyBorder="1" applyAlignment="1" applyProtection="1">
      <alignment horizontal="center" vertical="center"/>
      <protection locked="0"/>
    </xf>
    <xf numFmtId="43" fontId="5" fillId="0" borderId="18" xfId="1" applyFont="1" applyBorder="1" applyAlignment="1" applyProtection="1">
      <alignment horizontal="center" vertical="center"/>
      <protection locked="0"/>
    </xf>
    <xf numFmtId="43" fontId="5" fillId="3" borderId="4" xfId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</xf>
    <xf numFmtId="0" fontId="0" fillId="0" borderId="0" xfId="0" applyProtection="1"/>
    <xf numFmtId="43" fontId="4" fillId="5" borderId="16" xfId="0" applyNumberFormat="1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</xf>
    <xf numFmtId="43" fontId="0" fillId="0" borderId="0" xfId="0" applyNumberFormat="1" applyProtection="1"/>
    <xf numFmtId="43" fontId="4" fillId="6" borderId="16" xfId="0" applyNumberFormat="1" applyFont="1" applyFill="1" applyBorder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43" fontId="4" fillId="4" borderId="16" xfId="0" applyNumberFormat="1" applyFont="1" applyFill="1" applyBorder="1" applyAlignment="1" applyProtection="1">
      <alignment horizontal="center" vertical="center"/>
    </xf>
    <xf numFmtId="0" fontId="9" fillId="4" borderId="0" xfId="0" applyFont="1" applyFill="1" applyAlignment="1" applyProtection="1">
      <alignment horizontal="center" vertical="center"/>
    </xf>
    <xf numFmtId="43" fontId="4" fillId="4" borderId="0" xfId="0" applyNumberFormat="1" applyFont="1" applyFill="1" applyAlignment="1" applyProtection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3" fillId="2" borderId="9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right" vertical="center"/>
      <protection locked="0"/>
    </xf>
    <xf numFmtId="0" fontId="0" fillId="2" borderId="8" xfId="0" applyFill="1" applyBorder="1" applyAlignment="1" applyProtection="1">
      <alignment horizontal="right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3" borderId="13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3" borderId="11" xfId="0" applyFont="1" applyFill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32"/>
  <sheetViews>
    <sheetView zoomScale="55" zoomScaleNormal="55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R15" sqref="R15"/>
    </sheetView>
  </sheetViews>
  <sheetFormatPr defaultRowHeight="14.25" x14ac:dyDescent="0.2"/>
  <cols>
    <col min="1" max="2" width="20.75" customWidth="1"/>
    <col min="3" max="3" width="16.375" bestFit="1" customWidth="1"/>
    <col min="4" max="4" width="5.875" bestFit="1" customWidth="1"/>
    <col min="5" max="5" width="15.625" bestFit="1" customWidth="1"/>
    <col min="6" max="6" width="10.75" customWidth="1"/>
    <col min="7" max="20" width="13.75" customWidth="1"/>
    <col min="21" max="21" width="26.625" customWidth="1"/>
  </cols>
  <sheetData>
    <row r="1" spans="1:21" ht="15" customHeight="1" x14ac:dyDescent="0.2">
      <c r="A1" s="6" t="s">
        <v>0</v>
      </c>
      <c r="B1" s="59" t="s">
        <v>1</v>
      </c>
      <c r="C1" s="60"/>
      <c r="D1" s="60"/>
      <c r="E1" s="7" t="s">
        <v>2</v>
      </c>
      <c r="F1" s="8">
        <v>5</v>
      </c>
    </row>
    <row r="2" spans="1:21" ht="15" customHeight="1" thickBot="1" x14ac:dyDescent="0.25">
      <c r="A2" s="9" t="s">
        <v>3</v>
      </c>
      <c r="B2" s="61">
        <v>8310080</v>
      </c>
      <c r="C2" s="62"/>
      <c r="D2" s="62"/>
      <c r="E2" s="10" t="s">
        <v>4</v>
      </c>
      <c r="F2" s="11" t="s">
        <v>68</v>
      </c>
    </row>
    <row r="3" spans="1:21" ht="13.9" customHeight="1" thickBot="1" x14ac:dyDescent="0.25">
      <c r="A3" s="63" t="s">
        <v>5</v>
      </c>
      <c r="B3" s="65" t="s">
        <v>6</v>
      </c>
      <c r="C3" s="66"/>
      <c r="D3" s="67"/>
    </row>
    <row r="4" spans="1:21" ht="13.9" customHeight="1" thickBot="1" x14ac:dyDescent="0.25">
      <c r="A4" s="64"/>
      <c r="B4" s="66"/>
      <c r="C4" s="66"/>
      <c r="D4" s="67"/>
      <c r="G4" s="68" t="s">
        <v>69</v>
      </c>
      <c r="H4" s="68"/>
      <c r="I4" s="58" t="s">
        <v>70</v>
      </c>
      <c r="J4" s="58"/>
      <c r="K4" s="68" t="s">
        <v>71</v>
      </c>
      <c r="L4" s="68"/>
      <c r="M4" s="58" t="s">
        <v>72</v>
      </c>
      <c r="N4" s="58"/>
      <c r="O4" s="72" t="s">
        <v>73</v>
      </c>
      <c r="P4" s="72"/>
      <c r="Q4" s="73" t="s">
        <v>74</v>
      </c>
      <c r="R4" s="73"/>
      <c r="S4" s="74" t="s">
        <v>75</v>
      </c>
      <c r="T4" s="74"/>
    </row>
    <row r="5" spans="1:21" ht="13.9" customHeight="1" thickBot="1" x14ac:dyDescent="0.25">
      <c r="A5" s="64"/>
      <c r="B5" s="66"/>
      <c r="C5" s="66"/>
      <c r="D5" s="67"/>
      <c r="G5" s="69"/>
      <c r="H5" s="69"/>
      <c r="I5" s="70"/>
      <c r="J5" s="70"/>
      <c r="K5" s="71"/>
      <c r="L5" s="71"/>
      <c r="M5" s="70"/>
      <c r="N5" s="70"/>
      <c r="O5" s="71"/>
      <c r="P5" s="71"/>
      <c r="Q5" s="70"/>
      <c r="R5" s="70"/>
      <c r="S5" s="71"/>
      <c r="T5" s="71"/>
    </row>
    <row r="6" spans="1:21" ht="31.9" customHeight="1" thickBot="1" x14ac:dyDescent="0.25">
      <c r="A6" s="2" t="s">
        <v>7</v>
      </c>
      <c r="B6" s="2" t="s">
        <v>8</v>
      </c>
      <c r="C6" s="3" t="s">
        <v>9</v>
      </c>
      <c r="D6" s="3" t="s">
        <v>10</v>
      </c>
      <c r="E6" s="4" t="s">
        <v>11</v>
      </c>
      <c r="F6" s="4" t="s">
        <v>12</v>
      </c>
      <c r="G6" s="12" t="s">
        <v>13</v>
      </c>
      <c r="H6" s="13" t="s">
        <v>13</v>
      </c>
      <c r="I6" s="5" t="s">
        <v>13</v>
      </c>
      <c r="J6" s="1" t="s">
        <v>13</v>
      </c>
      <c r="K6" s="12" t="s">
        <v>13</v>
      </c>
      <c r="L6" s="13" t="s">
        <v>13</v>
      </c>
      <c r="M6" s="5" t="s">
        <v>13</v>
      </c>
      <c r="N6" s="1" t="s">
        <v>13</v>
      </c>
      <c r="O6" s="12" t="s">
        <v>13</v>
      </c>
      <c r="P6" s="12" t="s">
        <v>13</v>
      </c>
      <c r="Q6" s="5" t="s">
        <v>13</v>
      </c>
      <c r="R6" s="5" t="s">
        <v>13</v>
      </c>
      <c r="S6" s="12" t="s">
        <v>13</v>
      </c>
      <c r="T6" s="13" t="s">
        <v>13</v>
      </c>
      <c r="U6" s="14" t="s">
        <v>67</v>
      </c>
    </row>
    <row r="7" spans="1:21" ht="51" customHeight="1" x14ac:dyDescent="0.3">
      <c r="A7" s="24" t="s">
        <v>14</v>
      </c>
      <c r="B7" s="24" t="s">
        <v>15</v>
      </c>
      <c r="C7" s="24">
        <v>12540</v>
      </c>
      <c r="D7" s="24" t="s">
        <v>16</v>
      </c>
      <c r="E7" s="24" t="s">
        <v>17</v>
      </c>
      <c r="F7" s="15"/>
      <c r="G7" s="16">
        <v>0.5</v>
      </c>
      <c r="H7" s="17"/>
      <c r="I7" s="18">
        <v>0.5</v>
      </c>
      <c r="J7" s="19"/>
      <c r="K7" s="16">
        <v>0.5</v>
      </c>
      <c r="L7" s="17"/>
      <c r="M7" s="18">
        <v>0.5</v>
      </c>
      <c r="N7" s="19"/>
      <c r="O7" s="17"/>
      <c r="P7" s="17"/>
      <c r="Q7" s="19"/>
      <c r="R7" s="19"/>
      <c r="S7" s="17"/>
      <c r="T7" s="17"/>
      <c r="U7" s="20">
        <f>SUM(G7:T7)</f>
        <v>2</v>
      </c>
    </row>
    <row r="8" spans="1:21" ht="51" customHeight="1" x14ac:dyDescent="0.3">
      <c r="A8" s="24" t="s">
        <v>18</v>
      </c>
      <c r="B8" s="24" t="s">
        <v>19</v>
      </c>
      <c r="C8" s="24">
        <v>19259</v>
      </c>
      <c r="D8" s="24" t="s">
        <v>20</v>
      </c>
      <c r="E8" s="24" t="s">
        <v>17</v>
      </c>
      <c r="F8" s="15"/>
      <c r="G8" s="16">
        <v>0.25</v>
      </c>
      <c r="H8" s="16"/>
      <c r="I8" s="18">
        <v>0.5</v>
      </c>
      <c r="J8" s="18"/>
      <c r="K8" s="16">
        <v>0.25</v>
      </c>
      <c r="L8" s="16"/>
      <c r="M8" s="18">
        <v>0.5</v>
      </c>
      <c r="N8" s="18">
        <v>1</v>
      </c>
      <c r="O8" s="16">
        <v>0.25</v>
      </c>
      <c r="P8" s="16">
        <v>0.5</v>
      </c>
      <c r="Q8" s="18">
        <v>3.5</v>
      </c>
      <c r="R8" s="18"/>
      <c r="S8" s="17"/>
      <c r="T8" s="17"/>
      <c r="U8" s="20">
        <f>SUM(G8:T8)</f>
        <v>6.75</v>
      </c>
    </row>
    <row r="9" spans="1:21" ht="51" customHeight="1" x14ac:dyDescent="0.3">
      <c r="A9" s="24" t="s">
        <v>21</v>
      </c>
      <c r="B9" s="24" t="s">
        <v>22</v>
      </c>
      <c r="C9" s="24">
        <v>14498</v>
      </c>
      <c r="D9" s="24" t="s">
        <v>20</v>
      </c>
      <c r="E9" s="24" t="s">
        <v>17</v>
      </c>
      <c r="F9" s="21" t="s">
        <v>77</v>
      </c>
      <c r="G9" s="16">
        <v>0.25</v>
      </c>
      <c r="H9" s="17"/>
      <c r="I9" s="18">
        <v>0.25</v>
      </c>
      <c r="J9" s="19"/>
      <c r="K9" s="16">
        <v>0.25</v>
      </c>
      <c r="L9" s="17"/>
      <c r="M9" s="19"/>
      <c r="N9" s="19"/>
      <c r="O9" s="16">
        <v>0.25</v>
      </c>
      <c r="P9" s="16"/>
      <c r="Q9" s="18">
        <v>6</v>
      </c>
      <c r="R9" s="19"/>
      <c r="S9" s="17"/>
      <c r="T9" s="17"/>
      <c r="U9" s="20">
        <f>SUM(G9:T9)</f>
        <v>7</v>
      </c>
    </row>
    <row r="10" spans="1:21" ht="51" customHeight="1" x14ac:dyDescent="0.3">
      <c r="A10" s="24" t="s">
        <v>23</v>
      </c>
      <c r="B10" s="24" t="s">
        <v>24</v>
      </c>
      <c r="C10" s="24">
        <v>103</v>
      </c>
      <c r="D10" s="24" t="s">
        <v>20</v>
      </c>
      <c r="E10" s="24" t="s">
        <v>17</v>
      </c>
      <c r="F10" s="21" t="s">
        <v>76</v>
      </c>
      <c r="G10" s="16">
        <v>0.25</v>
      </c>
      <c r="H10" s="16"/>
      <c r="I10" s="18">
        <v>0.25</v>
      </c>
      <c r="J10" s="18"/>
      <c r="K10" s="16">
        <v>0.25</v>
      </c>
      <c r="L10" s="16"/>
      <c r="M10" s="18">
        <v>0.25</v>
      </c>
      <c r="N10" s="18"/>
      <c r="O10" s="16">
        <v>0.25</v>
      </c>
      <c r="P10" s="17"/>
      <c r="Q10" s="19"/>
      <c r="R10" s="19"/>
      <c r="S10" s="17"/>
      <c r="T10" s="17"/>
      <c r="U10" s="20">
        <f>SUM(G10:T10)</f>
        <v>1.25</v>
      </c>
    </row>
    <row r="11" spans="1:21" ht="51" customHeight="1" x14ac:dyDescent="0.3">
      <c r="A11" s="24" t="s">
        <v>25</v>
      </c>
      <c r="B11" s="24" t="s">
        <v>26</v>
      </c>
      <c r="C11" s="24">
        <v>11577</v>
      </c>
      <c r="D11" s="24" t="s">
        <v>16</v>
      </c>
      <c r="E11" s="24" t="s">
        <v>27</v>
      </c>
      <c r="F11" s="15"/>
      <c r="G11" s="17"/>
      <c r="H11" s="17"/>
      <c r="I11" s="19"/>
      <c r="J11" s="19"/>
      <c r="K11" s="17"/>
      <c r="L11" s="17"/>
      <c r="M11" s="19"/>
      <c r="N11" s="19"/>
      <c r="O11" s="17"/>
      <c r="P11" s="17"/>
      <c r="Q11" s="19"/>
      <c r="R11" s="19"/>
      <c r="S11" s="17"/>
      <c r="T11" s="17"/>
      <c r="U11" s="20">
        <f t="shared" ref="U11:U31" si="0">SUM(G11:T11)</f>
        <v>0</v>
      </c>
    </row>
    <row r="12" spans="1:21" ht="51" customHeight="1" x14ac:dyDescent="0.3">
      <c r="A12" s="24" t="s">
        <v>28</v>
      </c>
      <c r="B12" s="24" t="s">
        <v>29</v>
      </c>
      <c r="C12" s="24">
        <v>18339</v>
      </c>
      <c r="D12" s="24" t="s">
        <v>16</v>
      </c>
      <c r="E12" s="24" t="s">
        <v>17</v>
      </c>
      <c r="F12" s="15"/>
      <c r="G12" s="17"/>
      <c r="H12" s="17"/>
      <c r="I12" s="19"/>
      <c r="J12" s="19"/>
      <c r="K12" s="17"/>
      <c r="L12" s="17"/>
      <c r="M12" s="19"/>
      <c r="N12" s="19"/>
      <c r="O12" s="17"/>
      <c r="P12" s="17"/>
      <c r="Q12" s="18">
        <v>5</v>
      </c>
      <c r="R12" s="19"/>
      <c r="S12" s="17"/>
      <c r="T12" s="17"/>
      <c r="U12" s="20">
        <f>SUM(G12:T12)</f>
        <v>5</v>
      </c>
    </row>
    <row r="13" spans="1:21" ht="51" customHeight="1" x14ac:dyDescent="0.3">
      <c r="A13" s="24" t="s">
        <v>30</v>
      </c>
      <c r="B13" s="24" t="s">
        <v>31</v>
      </c>
      <c r="C13" s="24">
        <v>1833</v>
      </c>
      <c r="D13" s="24" t="s">
        <v>16</v>
      </c>
      <c r="E13" s="24" t="s">
        <v>17</v>
      </c>
      <c r="F13" s="15"/>
      <c r="G13" s="17"/>
      <c r="H13" s="17"/>
      <c r="I13" s="18">
        <v>0.5</v>
      </c>
      <c r="J13" s="19"/>
      <c r="K13" s="16">
        <v>0.5</v>
      </c>
      <c r="L13" s="17"/>
      <c r="M13" s="18">
        <v>0.5</v>
      </c>
      <c r="N13" s="19"/>
      <c r="O13" s="16">
        <v>0.5</v>
      </c>
      <c r="P13" s="16"/>
      <c r="Q13" s="18">
        <v>6</v>
      </c>
      <c r="R13" s="19"/>
      <c r="S13" s="17"/>
      <c r="T13" s="17"/>
      <c r="U13" s="20">
        <f>SUM(G13:T13)</f>
        <v>8</v>
      </c>
    </row>
    <row r="14" spans="1:21" ht="51" customHeight="1" x14ac:dyDescent="0.3">
      <c r="A14" s="24" t="s">
        <v>32</v>
      </c>
      <c r="B14" s="24" t="s">
        <v>33</v>
      </c>
      <c r="C14" s="24">
        <v>14132</v>
      </c>
      <c r="D14" s="24" t="s">
        <v>16</v>
      </c>
      <c r="E14" s="24" t="s">
        <v>17</v>
      </c>
      <c r="F14" s="15"/>
      <c r="G14" s="17"/>
      <c r="H14" s="17"/>
      <c r="I14" s="19"/>
      <c r="J14" s="18">
        <v>0.5</v>
      </c>
      <c r="K14" s="17"/>
      <c r="L14" s="16">
        <v>0.5</v>
      </c>
      <c r="M14" s="19"/>
      <c r="N14" s="18">
        <v>0.5</v>
      </c>
      <c r="O14" s="17"/>
      <c r="P14" s="16">
        <v>0.5</v>
      </c>
      <c r="Q14" s="19"/>
      <c r="R14" s="19"/>
      <c r="S14" s="17"/>
      <c r="T14" s="17"/>
      <c r="U14" s="20">
        <f>SUM(G14:T14)</f>
        <v>2</v>
      </c>
    </row>
    <row r="15" spans="1:21" ht="51" customHeight="1" x14ac:dyDescent="0.3">
      <c r="A15" s="24" t="s">
        <v>34</v>
      </c>
      <c r="B15" s="24" t="s">
        <v>35</v>
      </c>
      <c r="C15" s="24">
        <v>13656</v>
      </c>
      <c r="D15" s="24" t="s">
        <v>16</v>
      </c>
      <c r="E15" s="24" t="s">
        <v>17</v>
      </c>
      <c r="F15" s="15"/>
      <c r="G15" s="16">
        <v>1</v>
      </c>
      <c r="H15" s="17"/>
      <c r="I15" s="19"/>
      <c r="J15" s="19"/>
      <c r="K15" s="17"/>
      <c r="L15" s="17"/>
      <c r="M15" s="19"/>
      <c r="N15" s="19"/>
      <c r="O15" s="17"/>
      <c r="P15" s="17"/>
      <c r="Q15" s="19"/>
      <c r="R15" s="19"/>
      <c r="S15" s="17"/>
      <c r="T15" s="17"/>
      <c r="U15" s="20">
        <f>SUM(G15:T15)</f>
        <v>1</v>
      </c>
    </row>
    <row r="16" spans="1:21" ht="51" customHeight="1" x14ac:dyDescent="0.3">
      <c r="A16" s="24" t="s">
        <v>36</v>
      </c>
      <c r="B16" s="24" t="s">
        <v>37</v>
      </c>
      <c r="C16" s="24">
        <v>2388</v>
      </c>
      <c r="D16" s="24" t="s">
        <v>16</v>
      </c>
      <c r="E16" s="24" t="s">
        <v>17</v>
      </c>
      <c r="F16" s="15"/>
      <c r="G16" s="17"/>
      <c r="H16" s="17"/>
      <c r="I16" s="19"/>
      <c r="J16" s="19"/>
      <c r="K16" s="17"/>
      <c r="L16" s="17"/>
      <c r="M16" s="19"/>
      <c r="N16" s="19"/>
      <c r="O16" s="17"/>
      <c r="P16" s="17"/>
      <c r="Q16" s="19"/>
      <c r="R16" s="19"/>
      <c r="S16" s="17"/>
      <c r="T16" s="17"/>
      <c r="U16" s="20">
        <f t="shared" si="0"/>
        <v>0</v>
      </c>
    </row>
    <row r="17" spans="1:21" ht="51" customHeight="1" x14ac:dyDescent="0.3">
      <c r="A17" s="24" t="s">
        <v>38</v>
      </c>
      <c r="B17" s="24" t="s">
        <v>39</v>
      </c>
      <c r="C17" s="24">
        <v>19360</v>
      </c>
      <c r="D17" s="24" t="s">
        <v>16</v>
      </c>
      <c r="E17" s="24" t="s">
        <v>17</v>
      </c>
      <c r="F17" s="15"/>
      <c r="G17" s="16">
        <v>0.5</v>
      </c>
      <c r="H17" s="17"/>
      <c r="I17" s="19"/>
      <c r="J17" s="19"/>
      <c r="K17" s="16">
        <v>0.5</v>
      </c>
      <c r="L17" s="16"/>
      <c r="M17" s="18">
        <v>0.5</v>
      </c>
      <c r="N17" s="19"/>
      <c r="O17" s="16">
        <v>0.5</v>
      </c>
      <c r="P17" s="17"/>
      <c r="Q17" s="19"/>
      <c r="R17" s="19"/>
      <c r="S17" s="17"/>
      <c r="T17" s="17"/>
      <c r="U17" s="20">
        <f>SUM(G17:T17)</f>
        <v>2</v>
      </c>
    </row>
    <row r="18" spans="1:21" ht="51" customHeight="1" x14ac:dyDescent="0.4">
      <c r="A18" s="24" t="s">
        <v>40</v>
      </c>
      <c r="B18" s="24" t="s">
        <v>41</v>
      </c>
      <c r="C18" s="24">
        <v>12143</v>
      </c>
      <c r="D18" s="24" t="s">
        <v>16</v>
      </c>
      <c r="E18" s="24" t="s">
        <v>17</v>
      </c>
      <c r="F18" s="15"/>
      <c r="G18" s="16">
        <v>1</v>
      </c>
      <c r="H18" s="17"/>
      <c r="I18" s="18">
        <v>1</v>
      </c>
      <c r="J18" s="19"/>
      <c r="K18" s="16">
        <v>1</v>
      </c>
      <c r="L18" s="17"/>
      <c r="M18" s="18">
        <v>1</v>
      </c>
      <c r="N18" s="19"/>
      <c r="O18" s="16">
        <v>1</v>
      </c>
      <c r="P18" s="17"/>
      <c r="Q18" s="19"/>
      <c r="R18" s="19"/>
      <c r="S18" s="17"/>
      <c r="T18" s="17"/>
      <c r="U18" s="20">
        <f>SUM(G18:T18)</f>
        <v>5</v>
      </c>
    </row>
    <row r="19" spans="1:21" ht="51" customHeight="1" x14ac:dyDescent="0.4">
      <c r="A19" s="24" t="s">
        <v>42</v>
      </c>
      <c r="B19" s="24" t="s">
        <v>43</v>
      </c>
      <c r="C19" s="24">
        <v>13979</v>
      </c>
      <c r="D19" s="24" t="s">
        <v>16</v>
      </c>
      <c r="E19" s="24" t="s">
        <v>17</v>
      </c>
      <c r="F19" s="15"/>
      <c r="G19" s="16">
        <v>0.5</v>
      </c>
      <c r="H19" s="17"/>
      <c r="I19" s="18">
        <v>0.5</v>
      </c>
      <c r="J19" s="19"/>
      <c r="K19" s="16">
        <v>0.5</v>
      </c>
      <c r="L19" s="17"/>
      <c r="M19" s="18">
        <v>0.5</v>
      </c>
      <c r="N19" s="19"/>
      <c r="O19" s="17">
        <v>0.5</v>
      </c>
      <c r="P19" s="17"/>
      <c r="Q19" s="19">
        <v>5</v>
      </c>
      <c r="R19" s="19"/>
      <c r="S19" s="17"/>
      <c r="T19" s="17"/>
      <c r="U19" s="20">
        <f>SUM(G19:T19)</f>
        <v>7.5</v>
      </c>
    </row>
    <row r="20" spans="1:21" ht="51" customHeight="1" x14ac:dyDescent="0.4">
      <c r="A20" s="24" t="s">
        <v>44</v>
      </c>
      <c r="B20" s="24" t="s">
        <v>45</v>
      </c>
      <c r="C20" s="24">
        <v>761</v>
      </c>
      <c r="D20" s="24" t="s">
        <v>16</v>
      </c>
      <c r="E20" s="24" t="s">
        <v>17</v>
      </c>
      <c r="F20" s="15"/>
      <c r="G20" s="17"/>
      <c r="H20" s="17"/>
      <c r="I20" s="19"/>
      <c r="J20" s="19"/>
      <c r="K20" s="17"/>
      <c r="L20" s="17"/>
      <c r="M20" s="19"/>
      <c r="N20" s="19"/>
      <c r="O20" s="17"/>
      <c r="P20" s="17"/>
      <c r="Q20" s="19"/>
      <c r="R20" s="19"/>
      <c r="S20" s="17"/>
      <c r="T20" s="17"/>
      <c r="U20" s="20">
        <f t="shared" si="0"/>
        <v>0</v>
      </c>
    </row>
    <row r="21" spans="1:21" ht="51" customHeight="1" x14ac:dyDescent="0.4">
      <c r="A21" s="24" t="s">
        <v>46</v>
      </c>
      <c r="B21" s="24" t="s">
        <v>47</v>
      </c>
      <c r="C21" s="24">
        <v>12491</v>
      </c>
      <c r="D21" s="24" t="s">
        <v>16</v>
      </c>
      <c r="E21" s="24" t="s">
        <v>17</v>
      </c>
      <c r="F21" s="15"/>
      <c r="G21" s="17"/>
      <c r="H21" s="17"/>
      <c r="I21" s="18">
        <v>0.5</v>
      </c>
      <c r="J21" s="19"/>
      <c r="K21" s="16">
        <v>0.5</v>
      </c>
      <c r="L21" s="17"/>
      <c r="M21" s="18">
        <v>0.5</v>
      </c>
      <c r="N21" s="19"/>
      <c r="O21" s="16">
        <v>0.5</v>
      </c>
      <c r="P21" s="17"/>
      <c r="Q21" s="18">
        <v>6</v>
      </c>
      <c r="R21" s="19"/>
      <c r="S21" s="17"/>
      <c r="T21" s="17"/>
      <c r="U21" s="20">
        <f>SUM(G21:T21)</f>
        <v>8</v>
      </c>
    </row>
    <row r="22" spans="1:21" ht="51" customHeight="1" x14ac:dyDescent="0.4">
      <c r="A22" s="24" t="s">
        <v>48</v>
      </c>
      <c r="B22" s="24" t="s">
        <v>49</v>
      </c>
      <c r="C22" s="24">
        <v>19361</v>
      </c>
      <c r="D22" s="24" t="s">
        <v>16</v>
      </c>
      <c r="E22" s="24" t="s">
        <v>17</v>
      </c>
      <c r="F22" s="21" t="s">
        <v>77</v>
      </c>
      <c r="G22" s="16">
        <v>0.5</v>
      </c>
      <c r="H22" s="16"/>
      <c r="I22" s="18">
        <v>1</v>
      </c>
      <c r="J22" s="18"/>
      <c r="K22" s="16">
        <v>0.5</v>
      </c>
      <c r="L22" s="16"/>
      <c r="M22" s="18">
        <v>0.5</v>
      </c>
      <c r="N22" s="18"/>
      <c r="O22" s="16">
        <v>0.5</v>
      </c>
      <c r="P22" s="17"/>
      <c r="Q22" s="19"/>
      <c r="R22" s="19"/>
      <c r="S22" s="17"/>
      <c r="T22" s="17"/>
      <c r="U22" s="20">
        <f>SUM(G22:T22)</f>
        <v>3</v>
      </c>
    </row>
    <row r="23" spans="1:21" ht="51" customHeight="1" x14ac:dyDescent="0.4">
      <c r="A23" s="24" t="s">
        <v>50</v>
      </c>
      <c r="B23" s="24" t="s">
        <v>51</v>
      </c>
      <c r="C23" s="24">
        <v>1686</v>
      </c>
      <c r="D23" s="24" t="s">
        <v>16</v>
      </c>
      <c r="E23" s="24" t="s">
        <v>17</v>
      </c>
      <c r="F23" s="15"/>
      <c r="G23" s="17"/>
      <c r="H23" s="17"/>
      <c r="I23" s="19"/>
      <c r="J23" s="19"/>
      <c r="K23" s="17"/>
      <c r="L23" s="17"/>
      <c r="M23" s="19"/>
      <c r="N23" s="19"/>
      <c r="O23" s="17"/>
      <c r="P23" s="17"/>
      <c r="Q23" s="19"/>
      <c r="R23" s="19"/>
      <c r="S23" s="17"/>
      <c r="T23" s="17"/>
      <c r="U23" s="20">
        <f t="shared" si="0"/>
        <v>0</v>
      </c>
    </row>
    <row r="24" spans="1:21" ht="51" customHeight="1" x14ac:dyDescent="0.4">
      <c r="A24" s="24" t="s">
        <v>52</v>
      </c>
      <c r="B24" s="24" t="s">
        <v>53</v>
      </c>
      <c r="C24" s="24">
        <v>20285</v>
      </c>
      <c r="D24" s="24" t="s">
        <v>16</v>
      </c>
      <c r="E24" s="24" t="s">
        <v>17</v>
      </c>
      <c r="F24" s="15"/>
      <c r="G24" s="17"/>
      <c r="H24" s="17"/>
      <c r="I24" s="19"/>
      <c r="J24" s="19"/>
      <c r="K24" s="17"/>
      <c r="L24" s="17"/>
      <c r="M24" s="19"/>
      <c r="N24" s="19"/>
      <c r="O24" s="17"/>
      <c r="P24" s="17"/>
      <c r="Q24" s="19"/>
      <c r="R24" s="19"/>
      <c r="S24" s="17"/>
      <c r="T24" s="17"/>
      <c r="U24" s="20">
        <f t="shared" si="0"/>
        <v>0</v>
      </c>
    </row>
    <row r="25" spans="1:21" ht="51" customHeight="1" x14ac:dyDescent="0.4">
      <c r="A25" s="24" t="s">
        <v>54</v>
      </c>
      <c r="B25" s="24" t="s">
        <v>51</v>
      </c>
      <c r="C25" s="24">
        <v>17772</v>
      </c>
      <c r="D25" s="24" t="s">
        <v>16</v>
      </c>
      <c r="E25" s="24" t="s">
        <v>17</v>
      </c>
      <c r="F25" s="15"/>
      <c r="G25" s="17"/>
      <c r="H25" s="17"/>
      <c r="I25" s="18">
        <v>0.5</v>
      </c>
      <c r="J25" s="19"/>
      <c r="K25" s="16">
        <v>0.5</v>
      </c>
      <c r="L25" s="17"/>
      <c r="M25" s="18">
        <v>0.5</v>
      </c>
      <c r="N25" s="18"/>
      <c r="O25" s="16">
        <v>0.5</v>
      </c>
      <c r="P25" s="17"/>
      <c r="Q25" s="19"/>
      <c r="R25" s="19"/>
      <c r="S25" s="17"/>
      <c r="T25" s="17"/>
      <c r="U25" s="20">
        <f>SUM(G25:T25)</f>
        <v>2</v>
      </c>
    </row>
    <row r="26" spans="1:21" ht="51" customHeight="1" x14ac:dyDescent="0.4">
      <c r="A26" s="24" t="s">
        <v>54</v>
      </c>
      <c r="B26" s="24" t="s">
        <v>41</v>
      </c>
      <c r="C26" s="24">
        <v>860</v>
      </c>
      <c r="D26" s="24" t="s">
        <v>16</v>
      </c>
      <c r="E26" s="24" t="s">
        <v>17</v>
      </c>
      <c r="F26" s="15"/>
      <c r="G26" s="16">
        <v>1</v>
      </c>
      <c r="H26" s="17"/>
      <c r="I26" s="19"/>
      <c r="J26" s="19"/>
      <c r="K26" s="17"/>
      <c r="L26" s="17"/>
      <c r="M26" s="19"/>
      <c r="N26" s="19"/>
      <c r="O26" s="16">
        <v>1</v>
      </c>
      <c r="P26" s="17"/>
      <c r="Q26" s="19"/>
      <c r="R26" s="19"/>
      <c r="S26" s="17"/>
      <c r="T26" s="17"/>
      <c r="U26" s="20">
        <f>SUM(G26:T26)</f>
        <v>2</v>
      </c>
    </row>
    <row r="27" spans="1:21" ht="51" customHeight="1" x14ac:dyDescent="0.4">
      <c r="A27" s="24" t="s">
        <v>55</v>
      </c>
      <c r="B27" s="24" t="s">
        <v>56</v>
      </c>
      <c r="C27" s="24">
        <v>20146</v>
      </c>
      <c r="D27" s="24" t="s">
        <v>16</v>
      </c>
      <c r="E27" s="24" t="s">
        <v>57</v>
      </c>
      <c r="F27" s="15"/>
      <c r="G27" s="16">
        <v>0.5</v>
      </c>
      <c r="H27" s="17"/>
      <c r="I27" s="18">
        <v>0.5</v>
      </c>
      <c r="J27" s="19"/>
      <c r="K27" s="16">
        <v>0.5</v>
      </c>
      <c r="L27" s="16">
        <v>1</v>
      </c>
      <c r="M27" s="18">
        <v>0.5</v>
      </c>
      <c r="N27" s="19"/>
      <c r="O27" s="16">
        <v>0.5</v>
      </c>
      <c r="P27" s="16">
        <v>2</v>
      </c>
      <c r="Q27" s="19"/>
      <c r="R27" s="19"/>
      <c r="S27" s="17"/>
      <c r="T27" s="17"/>
      <c r="U27" s="20">
        <f>SUM(G27:T27)</f>
        <v>5.5</v>
      </c>
    </row>
    <row r="28" spans="1:21" ht="51" customHeight="1" x14ac:dyDescent="0.4">
      <c r="A28" s="24" t="s">
        <v>55</v>
      </c>
      <c r="B28" s="24" t="s">
        <v>58</v>
      </c>
      <c r="C28" s="24">
        <v>1724</v>
      </c>
      <c r="D28" s="24" t="s">
        <v>16</v>
      </c>
      <c r="E28" s="24" t="s">
        <v>17</v>
      </c>
      <c r="F28" s="15"/>
      <c r="G28" s="17"/>
      <c r="H28" s="17"/>
      <c r="I28" s="19"/>
      <c r="J28" s="19"/>
      <c r="K28" s="17"/>
      <c r="L28" s="17"/>
      <c r="M28" s="19"/>
      <c r="N28" s="19"/>
      <c r="O28" s="17"/>
      <c r="P28" s="17"/>
      <c r="Q28" s="19"/>
      <c r="R28" s="19"/>
      <c r="S28" s="17"/>
      <c r="T28" s="17"/>
      <c r="U28" s="20">
        <f t="shared" si="0"/>
        <v>0</v>
      </c>
    </row>
    <row r="29" spans="1:21" ht="51" customHeight="1" x14ac:dyDescent="0.4">
      <c r="A29" s="24" t="s">
        <v>59</v>
      </c>
      <c r="B29" s="24" t="s">
        <v>60</v>
      </c>
      <c r="C29" s="24">
        <v>1749</v>
      </c>
      <c r="D29" s="24" t="s">
        <v>16</v>
      </c>
      <c r="E29" s="24" t="s">
        <v>17</v>
      </c>
      <c r="F29" s="15"/>
      <c r="G29" s="17"/>
      <c r="H29" s="17"/>
      <c r="I29" s="18">
        <v>1</v>
      </c>
      <c r="J29" s="19"/>
      <c r="K29" s="16">
        <v>1</v>
      </c>
      <c r="L29" s="17"/>
      <c r="M29" s="18">
        <v>1</v>
      </c>
      <c r="N29" s="19"/>
      <c r="O29" s="16">
        <v>1</v>
      </c>
      <c r="P29" s="16">
        <v>2</v>
      </c>
      <c r="Q29" s="18">
        <v>4</v>
      </c>
      <c r="R29" s="19"/>
      <c r="S29" s="17"/>
      <c r="T29" s="17"/>
      <c r="U29" s="20">
        <f>SUM(G29:T29)</f>
        <v>10</v>
      </c>
    </row>
    <row r="30" spans="1:21" ht="51" customHeight="1" x14ac:dyDescent="0.4">
      <c r="A30" s="24" t="s">
        <v>61</v>
      </c>
      <c r="B30" s="24" t="s">
        <v>62</v>
      </c>
      <c r="C30" s="24">
        <v>15778</v>
      </c>
      <c r="D30" s="24" t="s">
        <v>16</v>
      </c>
      <c r="E30" s="24" t="s">
        <v>63</v>
      </c>
      <c r="F30" s="15"/>
      <c r="G30" s="17"/>
      <c r="H30" s="17"/>
      <c r="I30" s="19"/>
      <c r="J30" s="19"/>
      <c r="K30" s="17"/>
      <c r="L30" s="17"/>
      <c r="M30" s="19"/>
      <c r="N30" s="19"/>
      <c r="O30" s="17"/>
      <c r="P30" s="17"/>
      <c r="Q30" s="19"/>
      <c r="R30" s="19"/>
      <c r="S30" s="17"/>
      <c r="T30" s="17"/>
      <c r="U30" s="20">
        <f t="shared" si="0"/>
        <v>0</v>
      </c>
    </row>
    <row r="31" spans="1:21" ht="51" customHeight="1" x14ac:dyDescent="0.4">
      <c r="A31" s="24" t="s">
        <v>64</v>
      </c>
      <c r="B31" s="24" t="s">
        <v>65</v>
      </c>
      <c r="C31" s="24">
        <v>99010029</v>
      </c>
      <c r="D31" s="24" t="s">
        <v>66</v>
      </c>
      <c r="E31" s="24"/>
      <c r="F31" s="15"/>
      <c r="G31" s="17"/>
      <c r="H31" s="17"/>
      <c r="I31" s="19"/>
      <c r="J31" s="19"/>
      <c r="K31" s="16">
        <v>0.5</v>
      </c>
      <c r="L31" s="16"/>
      <c r="M31" s="18">
        <v>0.5</v>
      </c>
      <c r="N31" s="18"/>
      <c r="O31" s="16">
        <v>0.5</v>
      </c>
      <c r="P31" s="17"/>
      <c r="Q31" s="19"/>
      <c r="R31" s="19"/>
      <c r="S31" s="17"/>
      <c r="T31" s="17"/>
      <c r="U31" s="20">
        <f t="shared" si="0"/>
        <v>1.5</v>
      </c>
    </row>
    <row r="32" spans="1:21" ht="48.6" customHeight="1" x14ac:dyDescent="0.25"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3">
        <f>SUM(U7:U31)</f>
        <v>79.5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18F37246-3BE4-4159-ACDD-F1033D0770D3}" scale="55" fitToPage="1">
      <pane xSplit="6" ySplit="6" topLeftCell="G7" activePane="bottomRight" state="frozen"/>
      <selection pane="bottomRight" activeCell="R15" sqref="R15"/>
      <pageMargins left="0.7" right="0.7" top="0.75" bottom="0.75" header="0.3" footer="0.3"/>
      <pageSetup paperSize="8" scale="55" orientation="landscape" r:id="rId1"/>
    </customSheetView>
    <customSheetView guid="{D10674BC-7251-4C6D-855E-5D19ED2F13E3}" scale="55" fitToPage="1">
      <pane xSplit="6" ySplit="6" topLeftCell="G7" activePane="bottomRight" state="frozen"/>
      <selection pane="bottomRight" activeCell="S34" sqref="S34"/>
      <pageMargins left="0.7" right="0.7" top="0.75" bottom="0.75" header="0.3" footer="0.3"/>
      <pageSetup paperSize="8" scale="52" orientation="landscape" r:id="rId2"/>
    </customSheetView>
    <customSheetView guid="{B2EFFC26-BB41-4DD8-9FDA-0ADF4385026F}" scale="55" showPageBreaks="1" fitToPage="1" printArea="1">
      <pane xSplit="6" ySplit="6" topLeftCell="G7" activePane="bottomRight" state="frozen"/>
      <selection pane="bottomRight" activeCell="S34" sqref="S34"/>
      <pageMargins left="0.7" right="0.7" top="0.75" bottom="0.75" header="0.3" footer="0.3"/>
      <pageSetup paperSize="8" scale="52" orientation="landscape" r:id="rId3"/>
    </customSheetView>
  </customSheetViews>
  <mergeCells count="18">
    <mergeCell ref="K4:L4"/>
    <mergeCell ref="M4:N4"/>
    <mergeCell ref="O4:P4"/>
    <mergeCell ref="Q4:R4"/>
    <mergeCell ref="S4:T4"/>
    <mergeCell ref="K5:L5"/>
    <mergeCell ref="M5:N5"/>
    <mergeCell ref="O5:P5"/>
    <mergeCell ref="Q5:R5"/>
    <mergeCell ref="S5:T5"/>
    <mergeCell ref="I4:J4"/>
    <mergeCell ref="B1:D1"/>
    <mergeCell ref="B2:D2"/>
    <mergeCell ref="A3:A5"/>
    <mergeCell ref="B3:D5"/>
    <mergeCell ref="G4:H4"/>
    <mergeCell ref="G5:H5"/>
    <mergeCell ref="I5:J5"/>
  </mergeCells>
  <pageMargins left="0.7" right="0.7" top="0.75" bottom="0.75" header="0.3" footer="0.3"/>
  <pageSetup paperSize="8" scale="55" orientation="landscape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X32"/>
  <sheetViews>
    <sheetView tabSelected="1" zoomScale="55" zoomScaleNormal="55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U11" sqref="U11"/>
    </sheetView>
  </sheetViews>
  <sheetFormatPr defaultColWidth="8.75" defaultRowHeight="14.25" x14ac:dyDescent="0.2"/>
  <cols>
    <col min="1" max="2" width="20.75" style="28" customWidth="1"/>
    <col min="3" max="3" width="16.375" style="28" bestFit="1" customWidth="1"/>
    <col min="4" max="4" width="5.875" style="28" bestFit="1" customWidth="1"/>
    <col min="5" max="5" width="15.625" style="28" bestFit="1" customWidth="1"/>
    <col min="6" max="6" width="10.75" style="28" customWidth="1"/>
    <col min="7" max="20" width="13.75" style="28" customWidth="1"/>
    <col min="21" max="21" width="26.625" style="28" customWidth="1"/>
    <col min="22" max="22" width="8.75" style="28"/>
    <col min="23" max="23" width="17.25" style="28" customWidth="1"/>
    <col min="24" max="24" width="13.875" style="28" customWidth="1"/>
    <col min="25" max="16384" width="8.75" style="28"/>
  </cols>
  <sheetData>
    <row r="1" spans="1:24" ht="15" customHeight="1" x14ac:dyDescent="0.2">
      <c r="A1" s="25" t="s">
        <v>0</v>
      </c>
      <c r="B1" s="76" t="s">
        <v>1</v>
      </c>
      <c r="C1" s="77"/>
      <c r="D1" s="77"/>
      <c r="E1" s="26" t="s">
        <v>2</v>
      </c>
      <c r="F1" s="27">
        <v>6</v>
      </c>
    </row>
    <row r="2" spans="1:24" ht="15" customHeight="1" thickBot="1" x14ac:dyDescent="0.25">
      <c r="A2" s="29" t="s">
        <v>3</v>
      </c>
      <c r="B2" s="78">
        <v>8310080</v>
      </c>
      <c r="C2" s="79"/>
      <c r="D2" s="79"/>
      <c r="E2" s="30" t="s">
        <v>4</v>
      </c>
      <c r="F2" s="31" t="s">
        <v>78</v>
      </c>
    </row>
    <row r="3" spans="1:24" ht="13.9" customHeight="1" thickBot="1" x14ac:dyDescent="0.25">
      <c r="A3" s="80" t="s">
        <v>5</v>
      </c>
      <c r="B3" s="82" t="s">
        <v>6</v>
      </c>
      <c r="C3" s="83"/>
      <c r="D3" s="84"/>
    </row>
    <row r="4" spans="1:24" ht="13.9" customHeight="1" thickBot="1" x14ac:dyDescent="0.25">
      <c r="A4" s="81"/>
      <c r="B4" s="83"/>
      <c r="C4" s="83"/>
      <c r="D4" s="84"/>
      <c r="G4" s="85" t="s">
        <v>69</v>
      </c>
      <c r="H4" s="85"/>
      <c r="I4" s="75" t="s">
        <v>70</v>
      </c>
      <c r="J4" s="75"/>
      <c r="K4" s="85" t="s">
        <v>71</v>
      </c>
      <c r="L4" s="85"/>
      <c r="M4" s="75" t="s">
        <v>72</v>
      </c>
      <c r="N4" s="75"/>
      <c r="O4" s="89" t="s">
        <v>73</v>
      </c>
      <c r="P4" s="89"/>
      <c r="Q4" s="90" t="s">
        <v>74</v>
      </c>
      <c r="R4" s="90"/>
      <c r="S4" s="91" t="s">
        <v>75</v>
      </c>
      <c r="T4" s="91"/>
    </row>
    <row r="5" spans="1:24" ht="13.9" customHeight="1" thickBot="1" x14ac:dyDescent="0.25">
      <c r="A5" s="81"/>
      <c r="B5" s="83"/>
      <c r="C5" s="83"/>
      <c r="D5" s="84"/>
      <c r="G5" s="86"/>
      <c r="H5" s="86"/>
      <c r="I5" s="87"/>
      <c r="J5" s="87"/>
      <c r="K5" s="88"/>
      <c r="L5" s="88"/>
      <c r="M5" s="87"/>
      <c r="N5" s="87"/>
      <c r="O5" s="88"/>
      <c r="P5" s="88"/>
      <c r="Q5" s="87"/>
      <c r="R5" s="87"/>
      <c r="S5" s="88"/>
      <c r="T5" s="88"/>
    </row>
    <row r="6" spans="1:24" ht="31.9" customHeight="1" thickBot="1" x14ac:dyDescent="0.25">
      <c r="A6" s="32" t="s">
        <v>7</v>
      </c>
      <c r="B6" s="32" t="s">
        <v>8</v>
      </c>
      <c r="C6" s="33" t="s">
        <v>9</v>
      </c>
      <c r="D6" s="33" t="s">
        <v>10</v>
      </c>
      <c r="E6" s="34" t="s">
        <v>11</v>
      </c>
      <c r="F6" s="34" t="s">
        <v>12</v>
      </c>
      <c r="G6" s="35" t="s">
        <v>13</v>
      </c>
      <c r="H6" s="36" t="s">
        <v>13</v>
      </c>
      <c r="I6" s="37" t="s">
        <v>13</v>
      </c>
      <c r="J6" s="38" t="s">
        <v>13</v>
      </c>
      <c r="K6" s="35" t="s">
        <v>13</v>
      </c>
      <c r="L6" s="36" t="s">
        <v>13</v>
      </c>
      <c r="M6" s="37" t="s">
        <v>13</v>
      </c>
      <c r="N6" s="38" t="s">
        <v>13</v>
      </c>
      <c r="O6" s="35" t="s">
        <v>13</v>
      </c>
      <c r="P6" s="35" t="s">
        <v>13</v>
      </c>
      <c r="Q6" s="37" t="s">
        <v>13</v>
      </c>
      <c r="R6" s="37" t="s">
        <v>13</v>
      </c>
      <c r="S6" s="35" t="s">
        <v>13</v>
      </c>
      <c r="T6" s="36" t="s">
        <v>13</v>
      </c>
      <c r="U6" s="48" t="s">
        <v>67</v>
      </c>
      <c r="V6" s="49"/>
      <c r="W6" s="49"/>
      <c r="X6" s="49"/>
    </row>
    <row r="7" spans="1:24" ht="51" customHeight="1" x14ac:dyDescent="0.4">
      <c r="A7" s="39" t="s">
        <v>14</v>
      </c>
      <c r="B7" s="39" t="s">
        <v>15</v>
      </c>
      <c r="C7" s="39">
        <v>12540</v>
      </c>
      <c r="D7" s="39" t="s">
        <v>16</v>
      </c>
      <c r="E7" s="39" t="s">
        <v>17</v>
      </c>
      <c r="F7" s="40"/>
      <c r="G7" s="41">
        <v>0.5</v>
      </c>
      <c r="H7" s="42"/>
      <c r="I7" s="43">
        <v>0.5</v>
      </c>
      <c r="J7" s="43"/>
      <c r="K7" s="41">
        <v>0.5</v>
      </c>
      <c r="L7" s="42"/>
      <c r="M7" s="44"/>
      <c r="N7" s="44"/>
      <c r="O7" s="42"/>
      <c r="P7" s="42"/>
      <c r="Q7" s="44"/>
      <c r="R7" s="44"/>
      <c r="S7" s="42"/>
      <c r="T7" s="42"/>
      <c r="U7" s="50">
        <f>SUM(G7:T7)</f>
        <v>1.5</v>
      </c>
      <c r="V7" s="49"/>
      <c r="W7" s="51" t="s">
        <v>79</v>
      </c>
      <c r="X7" s="52">
        <f>U7+U10+U14+U15+U18+U26+U27+U28+U29+U31</f>
        <v>7.25</v>
      </c>
    </row>
    <row r="8" spans="1:24" ht="51" customHeight="1" x14ac:dyDescent="0.3">
      <c r="A8" s="39" t="s">
        <v>18</v>
      </c>
      <c r="B8" s="39" t="s">
        <v>19</v>
      </c>
      <c r="C8" s="39">
        <v>19259</v>
      </c>
      <c r="D8" s="39" t="s">
        <v>20</v>
      </c>
      <c r="E8" s="39" t="s">
        <v>17</v>
      </c>
      <c r="F8" s="40"/>
      <c r="G8" s="41">
        <v>0.25</v>
      </c>
      <c r="H8" s="41"/>
      <c r="I8" s="43">
        <v>0.25</v>
      </c>
      <c r="J8" s="44"/>
      <c r="K8" s="41">
        <v>1</v>
      </c>
      <c r="L8" s="42"/>
      <c r="M8" s="44"/>
      <c r="N8" s="44"/>
      <c r="O8" s="42"/>
      <c r="P8" s="42"/>
      <c r="Q8" s="44"/>
      <c r="R8" s="44"/>
      <c r="S8" s="42"/>
      <c r="T8" s="42"/>
      <c r="U8" s="53">
        <f>SUM(G8:T8)</f>
        <v>1.5</v>
      </c>
      <c r="V8" s="49"/>
      <c r="W8" s="54" t="s">
        <v>80</v>
      </c>
      <c r="X8" s="52">
        <f>U8+U11+U17+U22+U23+U24+U25</f>
        <v>2.5</v>
      </c>
    </row>
    <row r="9" spans="1:24" ht="51" customHeight="1" x14ac:dyDescent="0.4">
      <c r="A9" s="39" t="s">
        <v>21</v>
      </c>
      <c r="B9" s="39" t="s">
        <v>22</v>
      </c>
      <c r="C9" s="39">
        <v>14498</v>
      </c>
      <c r="D9" s="39" t="s">
        <v>20</v>
      </c>
      <c r="E9" s="39" t="s">
        <v>17</v>
      </c>
      <c r="F9" s="40"/>
      <c r="G9" s="42"/>
      <c r="H9" s="42"/>
      <c r="I9" s="43">
        <v>0.25</v>
      </c>
      <c r="J9" s="44"/>
      <c r="K9" s="41">
        <v>0.25</v>
      </c>
      <c r="L9" s="42"/>
      <c r="M9" s="44"/>
      <c r="N9" s="44"/>
      <c r="O9" s="42"/>
      <c r="P9" s="42"/>
      <c r="Q9" s="44"/>
      <c r="R9" s="44"/>
      <c r="S9" s="42"/>
      <c r="T9" s="42"/>
      <c r="U9" s="55">
        <f t="shared" ref="U9:U31" si="0">SUM(G9:T9)</f>
        <v>0.5</v>
      </c>
      <c r="V9" s="49"/>
      <c r="W9" s="56" t="s">
        <v>81</v>
      </c>
      <c r="X9" s="52">
        <f>U9+U12+U13+U16+U19+U20+U21+U30</f>
        <v>2</v>
      </c>
    </row>
    <row r="10" spans="1:24" ht="51" customHeight="1" x14ac:dyDescent="0.4">
      <c r="A10" s="39" t="s">
        <v>23</v>
      </c>
      <c r="B10" s="39" t="s">
        <v>24</v>
      </c>
      <c r="C10" s="39">
        <v>103</v>
      </c>
      <c r="D10" s="39" t="s">
        <v>20</v>
      </c>
      <c r="E10" s="39" t="s">
        <v>17</v>
      </c>
      <c r="F10" s="45" t="s">
        <v>76</v>
      </c>
      <c r="G10" s="41">
        <v>0.25</v>
      </c>
      <c r="H10" s="41"/>
      <c r="I10" s="43">
        <v>0.25</v>
      </c>
      <c r="J10" s="43"/>
      <c r="K10" s="41">
        <v>0.25</v>
      </c>
      <c r="L10" s="42"/>
      <c r="M10" s="44"/>
      <c r="N10" s="44"/>
      <c r="O10" s="42"/>
      <c r="P10" s="42"/>
      <c r="Q10" s="44"/>
      <c r="R10" s="44"/>
      <c r="S10" s="42"/>
      <c r="T10" s="42"/>
      <c r="U10" s="50">
        <f t="shared" si="0"/>
        <v>0.75</v>
      </c>
      <c r="V10" s="49"/>
      <c r="W10" s="49"/>
      <c r="X10" s="52">
        <f>SUM(X7:X9)</f>
        <v>11.75</v>
      </c>
    </row>
    <row r="11" spans="1:24" ht="51" customHeight="1" x14ac:dyDescent="0.3">
      <c r="A11" s="39" t="s">
        <v>25</v>
      </c>
      <c r="B11" s="39" t="s">
        <v>26</v>
      </c>
      <c r="C11" s="39">
        <v>11577</v>
      </c>
      <c r="D11" s="39" t="s">
        <v>16</v>
      </c>
      <c r="E11" s="39" t="s">
        <v>27</v>
      </c>
      <c r="F11" s="40"/>
      <c r="G11" s="42"/>
      <c r="H11" s="42"/>
      <c r="I11" s="44"/>
      <c r="J11" s="44"/>
      <c r="K11" s="42"/>
      <c r="L11" s="42"/>
      <c r="M11" s="44"/>
      <c r="N11" s="44"/>
      <c r="O11" s="42"/>
      <c r="P11" s="42"/>
      <c r="Q11" s="44"/>
      <c r="R11" s="44"/>
      <c r="S11" s="42"/>
      <c r="T11" s="42"/>
      <c r="U11" s="53">
        <f t="shared" si="0"/>
        <v>0</v>
      </c>
      <c r="V11" s="49"/>
      <c r="W11" s="49"/>
      <c r="X11" s="49"/>
    </row>
    <row r="12" spans="1:24" ht="51" customHeight="1" x14ac:dyDescent="0.3">
      <c r="A12" s="39" t="s">
        <v>28</v>
      </c>
      <c r="B12" s="39" t="s">
        <v>29</v>
      </c>
      <c r="C12" s="39">
        <v>18339</v>
      </c>
      <c r="D12" s="39" t="s">
        <v>16</v>
      </c>
      <c r="E12" s="39" t="s">
        <v>17</v>
      </c>
      <c r="F12" s="40"/>
      <c r="G12" s="42"/>
      <c r="H12" s="42"/>
      <c r="I12" s="44"/>
      <c r="J12" s="44"/>
      <c r="K12" s="42"/>
      <c r="L12" s="42"/>
      <c r="M12" s="44"/>
      <c r="N12" s="44"/>
      <c r="O12" s="42"/>
      <c r="P12" s="42"/>
      <c r="Q12" s="44"/>
      <c r="R12" s="44"/>
      <c r="S12" s="42"/>
      <c r="T12" s="42"/>
      <c r="U12" s="55">
        <f t="shared" si="0"/>
        <v>0</v>
      </c>
      <c r="V12" s="49"/>
      <c r="W12" s="49"/>
      <c r="X12" s="49"/>
    </row>
    <row r="13" spans="1:24" ht="51" customHeight="1" x14ac:dyDescent="0.4">
      <c r="A13" s="39" t="s">
        <v>30</v>
      </c>
      <c r="B13" s="39" t="s">
        <v>31</v>
      </c>
      <c r="C13" s="39">
        <v>1833</v>
      </c>
      <c r="D13" s="39" t="s">
        <v>16</v>
      </c>
      <c r="E13" s="39" t="s">
        <v>17</v>
      </c>
      <c r="F13" s="40"/>
      <c r="G13" s="41">
        <v>0.5</v>
      </c>
      <c r="H13" s="42"/>
      <c r="I13" s="44"/>
      <c r="J13" s="44"/>
      <c r="K13" s="42"/>
      <c r="L13" s="42"/>
      <c r="M13" s="44"/>
      <c r="N13" s="44"/>
      <c r="O13" s="42"/>
      <c r="P13" s="42"/>
      <c r="Q13" s="44"/>
      <c r="R13" s="44"/>
      <c r="S13" s="42"/>
      <c r="T13" s="42"/>
      <c r="U13" s="55">
        <f t="shared" si="0"/>
        <v>0.5</v>
      </c>
      <c r="V13" s="49"/>
      <c r="W13" s="49"/>
      <c r="X13" s="49"/>
    </row>
    <row r="14" spans="1:24" ht="51" customHeight="1" x14ac:dyDescent="0.4">
      <c r="A14" s="39" t="s">
        <v>32</v>
      </c>
      <c r="B14" s="39" t="s">
        <v>33</v>
      </c>
      <c r="C14" s="39">
        <v>14132</v>
      </c>
      <c r="D14" s="39" t="s">
        <v>16</v>
      </c>
      <c r="E14" s="39" t="s">
        <v>17</v>
      </c>
      <c r="F14" s="40"/>
      <c r="G14" s="42"/>
      <c r="H14" s="42"/>
      <c r="I14" s="43">
        <v>1</v>
      </c>
      <c r="J14" s="44"/>
      <c r="K14" s="42"/>
      <c r="L14" s="42"/>
      <c r="M14" s="44"/>
      <c r="N14" s="44"/>
      <c r="O14" s="42"/>
      <c r="P14" s="42"/>
      <c r="Q14" s="44"/>
      <c r="R14" s="44"/>
      <c r="S14" s="42"/>
      <c r="T14" s="42"/>
      <c r="U14" s="50">
        <f t="shared" si="0"/>
        <v>1</v>
      </c>
      <c r="V14" s="49"/>
      <c r="W14" s="49"/>
      <c r="X14" s="49"/>
    </row>
    <row r="15" spans="1:24" ht="51" customHeight="1" x14ac:dyDescent="0.4">
      <c r="A15" s="39" t="s">
        <v>34</v>
      </c>
      <c r="B15" s="39" t="s">
        <v>35</v>
      </c>
      <c r="C15" s="39">
        <v>13656</v>
      </c>
      <c r="D15" s="39" t="s">
        <v>16</v>
      </c>
      <c r="E15" s="39" t="s">
        <v>17</v>
      </c>
      <c r="F15" s="40"/>
      <c r="G15" s="41">
        <v>1</v>
      </c>
      <c r="H15" s="42"/>
      <c r="I15" s="44"/>
      <c r="J15" s="44"/>
      <c r="K15" s="42"/>
      <c r="L15" s="42"/>
      <c r="M15" s="44"/>
      <c r="N15" s="44"/>
      <c r="O15" s="42"/>
      <c r="P15" s="42"/>
      <c r="Q15" s="44"/>
      <c r="R15" s="44"/>
      <c r="S15" s="42"/>
      <c r="T15" s="42"/>
      <c r="U15" s="50">
        <f t="shared" si="0"/>
        <v>1</v>
      </c>
      <c r="V15" s="49"/>
      <c r="W15" s="49"/>
      <c r="X15" s="49"/>
    </row>
    <row r="16" spans="1:24" ht="51" customHeight="1" x14ac:dyDescent="0.3">
      <c r="A16" s="39" t="s">
        <v>36</v>
      </c>
      <c r="B16" s="39" t="s">
        <v>37</v>
      </c>
      <c r="C16" s="39">
        <v>2388</v>
      </c>
      <c r="D16" s="39" t="s">
        <v>16</v>
      </c>
      <c r="E16" s="39" t="s">
        <v>17</v>
      </c>
      <c r="F16" s="40"/>
      <c r="G16" s="42"/>
      <c r="H16" s="42"/>
      <c r="I16" s="44"/>
      <c r="J16" s="44"/>
      <c r="K16" s="42"/>
      <c r="L16" s="42"/>
      <c r="M16" s="44"/>
      <c r="N16" s="44"/>
      <c r="O16" s="42"/>
      <c r="P16" s="42"/>
      <c r="Q16" s="44"/>
      <c r="R16" s="44"/>
      <c r="S16" s="42"/>
      <c r="T16" s="42"/>
      <c r="U16" s="55">
        <f t="shared" si="0"/>
        <v>0</v>
      </c>
      <c r="V16" s="49"/>
      <c r="W16" s="49"/>
      <c r="X16" s="49"/>
    </row>
    <row r="17" spans="1:24" ht="51" customHeight="1" x14ac:dyDescent="0.4">
      <c r="A17" s="39" t="s">
        <v>38</v>
      </c>
      <c r="B17" s="39" t="s">
        <v>39</v>
      </c>
      <c r="C17" s="39">
        <v>19360</v>
      </c>
      <c r="D17" s="39" t="s">
        <v>16</v>
      </c>
      <c r="E17" s="39" t="s">
        <v>17</v>
      </c>
      <c r="F17" s="40"/>
      <c r="G17" s="42"/>
      <c r="H17" s="42"/>
      <c r="I17" s="43">
        <v>0.5</v>
      </c>
      <c r="J17" s="44"/>
      <c r="K17" s="42"/>
      <c r="L17" s="42"/>
      <c r="M17" s="44"/>
      <c r="N17" s="44"/>
      <c r="O17" s="42"/>
      <c r="P17" s="42"/>
      <c r="Q17" s="44"/>
      <c r="R17" s="44"/>
      <c r="S17" s="42"/>
      <c r="T17" s="42"/>
      <c r="U17" s="53">
        <f>SUM(G17:T17)</f>
        <v>0.5</v>
      </c>
      <c r="V17" s="49"/>
      <c r="W17" s="49"/>
      <c r="X17" s="49"/>
    </row>
    <row r="18" spans="1:24" ht="51" customHeight="1" x14ac:dyDescent="0.4">
      <c r="A18" s="39" t="s">
        <v>40</v>
      </c>
      <c r="B18" s="39" t="s">
        <v>41</v>
      </c>
      <c r="C18" s="39">
        <v>12143</v>
      </c>
      <c r="D18" s="39" t="s">
        <v>16</v>
      </c>
      <c r="E18" s="39" t="s">
        <v>17</v>
      </c>
      <c r="F18" s="40"/>
      <c r="G18" s="42"/>
      <c r="H18" s="42"/>
      <c r="I18" s="44"/>
      <c r="J18" s="44"/>
      <c r="K18" s="42"/>
      <c r="L18" s="42"/>
      <c r="M18" s="44"/>
      <c r="N18" s="44"/>
      <c r="O18" s="42"/>
      <c r="P18" s="42"/>
      <c r="Q18" s="44"/>
      <c r="R18" s="44"/>
      <c r="S18" s="42"/>
      <c r="T18" s="42"/>
      <c r="U18" s="50">
        <f t="shared" si="0"/>
        <v>0</v>
      </c>
      <c r="V18" s="49"/>
      <c r="W18" s="49"/>
      <c r="X18" s="49"/>
    </row>
    <row r="19" spans="1:24" ht="51" customHeight="1" x14ac:dyDescent="0.4">
      <c r="A19" s="39" t="s">
        <v>42</v>
      </c>
      <c r="B19" s="39" t="s">
        <v>43</v>
      </c>
      <c r="C19" s="39">
        <v>13979</v>
      </c>
      <c r="D19" s="39" t="s">
        <v>16</v>
      </c>
      <c r="E19" s="39" t="s">
        <v>17</v>
      </c>
      <c r="F19" s="40"/>
      <c r="G19" s="42"/>
      <c r="H19" s="42"/>
      <c r="I19" s="44"/>
      <c r="J19" s="44"/>
      <c r="K19" s="42"/>
      <c r="L19" s="42"/>
      <c r="M19" s="44"/>
      <c r="N19" s="44"/>
      <c r="O19" s="42"/>
      <c r="P19" s="42"/>
      <c r="Q19" s="44"/>
      <c r="R19" s="44"/>
      <c r="S19" s="42"/>
      <c r="T19" s="42"/>
      <c r="U19" s="55">
        <f t="shared" si="0"/>
        <v>0</v>
      </c>
      <c r="V19" s="49"/>
      <c r="W19" s="49"/>
      <c r="X19" s="49"/>
    </row>
    <row r="20" spans="1:24" ht="51" customHeight="1" x14ac:dyDescent="0.4">
      <c r="A20" s="39" t="s">
        <v>44</v>
      </c>
      <c r="B20" s="39" t="s">
        <v>45</v>
      </c>
      <c r="C20" s="39">
        <v>761</v>
      </c>
      <c r="D20" s="39" t="s">
        <v>16</v>
      </c>
      <c r="E20" s="39" t="s">
        <v>17</v>
      </c>
      <c r="F20" s="40"/>
      <c r="G20" s="46">
        <v>0.5</v>
      </c>
      <c r="H20" s="42"/>
      <c r="I20" s="44"/>
      <c r="J20" s="44"/>
      <c r="K20" s="42"/>
      <c r="L20" s="42"/>
      <c r="M20" s="44"/>
      <c r="N20" s="44"/>
      <c r="O20" s="42"/>
      <c r="P20" s="42"/>
      <c r="Q20" s="44"/>
      <c r="R20" s="44"/>
      <c r="S20" s="42"/>
      <c r="T20" s="42"/>
      <c r="U20" s="55">
        <f t="shared" si="0"/>
        <v>0.5</v>
      </c>
      <c r="V20" s="49"/>
      <c r="W20" s="49"/>
      <c r="X20" s="49"/>
    </row>
    <row r="21" spans="1:24" ht="51" customHeight="1" x14ac:dyDescent="0.4">
      <c r="A21" s="39" t="s">
        <v>46</v>
      </c>
      <c r="B21" s="39" t="s">
        <v>47</v>
      </c>
      <c r="C21" s="39">
        <v>12491</v>
      </c>
      <c r="D21" s="39" t="s">
        <v>16</v>
      </c>
      <c r="E21" s="39" t="s">
        <v>17</v>
      </c>
      <c r="F21" s="40"/>
      <c r="G21" s="41">
        <v>0.5</v>
      </c>
      <c r="H21" s="42"/>
      <c r="I21" s="44"/>
      <c r="J21" s="44"/>
      <c r="K21" s="42"/>
      <c r="L21" s="42"/>
      <c r="M21" s="44"/>
      <c r="N21" s="44"/>
      <c r="O21" s="42"/>
      <c r="P21" s="42"/>
      <c r="Q21" s="44"/>
      <c r="R21" s="44"/>
      <c r="S21" s="42"/>
      <c r="T21" s="42"/>
      <c r="U21" s="55">
        <f t="shared" si="0"/>
        <v>0.5</v>
      </c>
      <c r="V21" s="49"/>
      <c r="W21" s="49"/>
      <c r="X21" s="49"/>
    </row>
    <row r="22" spans="1:24" ht="51" customHeight="1" x14ac:dyDescent="0.4">
      <c r="A22" s="39" t="s">
        <v>48</v>
      </c>
      <c r="B22" s="39" t="s">
        <v>49</v>
      </c>
      <c r="C22" s="39">
        <v>19361</v>
      </c>
      <c r="D22" s="39" t="s">
        <v>16</v>
      </c>
      <c r="E22" s="39" t="s">
        <v>17</v>
      </c>
      <c r="F22" s="40"/>
      <c r="G22" s="41">
        <v>0.5</v>
      </c>
      <c r="H22" s="42"/>
      <c r="I22" s="44"/>
      <c r="J22" s="44"/>
      <c r="K22" s="42"/>
      <c r="L22" s="42"/>
      <c r="M22" s="44"/>
      <c r="N22" s="44"/>
      <c r="O22" s="42"/>
      <c r="P22" s="42"/>
      <c r="Q22" s="44"/>
      <c r="R22" s="44"/>
      <c r="S22" s="42"/>
      <c r="T22" s="42"/>
      <c r="U22" s="53">
        <f>SUM(G22:T22)</f>
        <v>0.5</v>
      </c>
      <c r="V22" s="49"/>
      <c r="W22" s="49"/>
      <c r="X22" s="49"/>
    </row>
    <row r="23" spans="1:24" ht="51" customHeight="1" x14ac:dyDescent="0.4">
      <c r="A23" s="39" t="s">
        <v>50</v>
      </c>
      <c r="B23" s="39" t="s">
        <v>51</v>
      </c>
      <c r="C23" s="39">
        <v>1686</v>
      </c>
      <c r="D23" s="39" t="s">
        <v>16</v>
      </c>
      <c r="E23" s="39" t="s">
        <v>17</v>
      </c>
      <c r="F23" s="40"/>
      <c r="G23" s="42"/>
      <c r="H23" s="42"/>
      <c r="I23" s="44"/>
      <c r="J23" s="44"/>
      <c r="K23" s="42"/>
      <c r="L23" s="42"/>
      <c r="M23" s="44"/>
      <c r="N23" s="44"/>
      <c r="O23" s="42"/>
      <c r="P23" s="42"/>
      <c r="Q23" s="44"/>
      <c r="R23" s="44"/>
      <c r="S23" s="42"/>
      <c r="T23" s="42"/>
      <c r="U23" s="53">
        <f t="shared" si="0"/>
        <v>0</v>
      </c>
      <c r="V23" s="49"/>
      <c r="W23" s="49"/>
      <c r="X23" s="49"/>
    </row>
    <row r="24" spans="1:24" ht="51" customHeight="1" x14ac:dyDescent="0.4">
      <c r="A24" s="39" t="s">
        <v>52</v>
      </c>
      <c r="B24" s="39" t="s">
        <v>53</v>
      </c>
      <c r="C24" s="39">
        <v>20285</v>
      </c>
      <c r="D24" s="39" t="s">
        <v>16</v>
      </c>
      <c r="E24" s="39" t="s">
        <v>17</v>
      </c>
      <c r="F24" s="40"/>
      <c r="G24" s="42"/>
      <c r="H24" s="42"/>
      <c r="I24" s="44"/>
      <c r="J24" s="44"/>
      <c r="K24" s="42"/>
      <c r="L24" s="42"/>
      <c r="M24" s="44"/>
      <c r="N24" s="44"/>
      <c r="O24" s="42"/>
      <c r="P24" s="42"/>
      <c r="Q24" s="44"/>
      <c r="R24" s="44"/>
      <c r="S24" s="42"/>
      <c r="T24" s="42"/>
      <c r="U24" s="53">
        <f t="shared" si="0"/>
        <v>0</v>
      </c>
      <c r="V24" s="49"/>
      <c r="W24" s="49"/>
      <c r="X24" s="49"/>
    </row>
    <row r="25" spans="1:24" ht="51" customHeight="1" x14ac:dyDescent="0.4">
      <c r="A25" s="39" t="s">
        <v>54</v>
      </c>
      <c r="B25" s="39" t="s">
        <v>51</v>
      </c>
      <c r="C25" s="39">
        <v>17772</v>
      </c>
      <c r="D25" s="39" t="s">
        <v>16</v>
      </c>
      <c r="E25" s="39" t="s">
        <v>17</v>
      </c>
      <c r="F25" s="40"/>
      <c r="G25" s="42"/>
      <c r="H25" s="42"/>
      <c r="I25" s="44"/>
      <c r="J25" s="44"/>
      <c r="K25" s="42"/>
      <c r="L25" s="42"/>
      <c r="M25" s="44"/>
      <c r="N25" s="44"/>
      <c r="O25" s="42"/>
      <c r="P25" s="42"/>
      <c r="Q25" s="44"/>
      <c r="R25" s="44"/>
      <c r="S25" s="42"/>
      <c r="T25" s="42"/>
      <c r="U25" s="53">
        <f t="shared" si="0"/>
        <v>0</v>
      </c>
      <c r="V25" s="49"/>
      <c r="W25" s="49"/>
      <c r="X25" s="49"/>
    </row>
    <row r="26" spans="1:24" ht="51" customHeight="1" x14ac:dyDescent="0.4">
      <c r="A26" s="39" t="s">
        <v>54</v>
      </c>
      <c r="B26" s="39" t="s">
        <v>41</v>
      </c>
      <c r="C26" s="39">
        <v>860</v>
      </c>
      <c r="D26" s="39" t="s">
        <v>16</v>
      </c>
      <c r="E26" s="39" t="s">
        <v>17</v>
      </c>
      <c r="F26" s="40"/>
      <c r="G26" s="41">
        <v>1</v>
      </c>
      <c r="H26" s="42"/>
      <c r="I26" s="44"/>
      <c r="J26" s="44"/>
      <c r="K26" s="42"/>
      <c r="L26" s="42"/>
      <c r="M26" s="44"/>
      <c r="N26" s="44"/>
      <c r="O26" s="42"/>
      <c r="P26" s="42"/>
      <c r="Q26" s="44"/>
      <c r="R26" s="44"/>
      <c r="S26" s="42"/>
      <c r="T26" s="42"/>
      <c r="U26" s="50">
        <f t="shared" si="0"/>
        <v>1</v>
      </c>
      <c r="V26" s="49"/>
      <c r="W26" s="49"/>
      <c r="X26" s="49"/>
    </row>
    <row r="27" spans="1:24" ht="51" customHeight="1" x14ac:dyDescent="0.4">
      <c r="A27" s="39" t="s">
        <v>55</v>
      </c>
      <c r="B27" s="39" t="s">
        <v>56</v>
      </c>
      <c r="C27" s="39">
        <v>20146</v>
      </c>
      <c r="D27" s="39" t="s">
        <v>16</v>
      </c>
      <c r="E27" s="39" t="s">
        <v>57</v>
      </c>
      <c r="F27" s="40"/>
      <c r="G27" s="41">
        <v>0.5</v>
      </c>
      <c r="H27" s="42"/>
      <c r="I27" s="44"/>
      <c r="J27" s="44"/>
      <c r="K27" s="42"/>
      <c r="L27" s="42"/>
      <c r="M27" s="44"/>
      <c r="N27" s="44"/>
      <c r="O27" s="42"/>
      <c r="P27" s="42"/>
      <c r="Q27" s="44"/>
      <c r="R27" s="44"/>
      <c r="S27" s="42"/>
      <c r="T27" s="42"/>
      <c r="U27" s="50">
        <f t="shared" si="0"/>
        <v>0.5</v>
      </c>
      <c r="V27" s="49"/>
      <c r="W27" s="49"/>
      <c r="X27" s="49"/>
    </row>
    <row r="28" spans="1:24" ht="51" customHeight="1" x14ac:dyDescent="0.4">
      <c r="A28" s="39" t="s">
        <v>55</v>
      </c>
      <c r="B28" s="39" t="s">
        <v>58</v>
      </c>
      <c r="C28" s="39">
        <v>1724</v>
      </c>
      <c r="D28" s="39" t="s">
        <v>16</v>
      </c>
      <c r="E28" s="39" t="s">
        <v>17</v>
      </c>
      <c r="F28" s="40"/>
      <c r="G28" s="42"/>
      <c r="H28" s="42"/>
      <c r="I28" s="44"/>
      <c r="J28" s="44"/>
      <c r="K28" s="42"/>
      <c r="L28" s="42"/>
      <c r="M28" s="44"/>
      <c r="N28" s="44"/>
      <c r="O28" s="42"/>
      <c r="P28" s="42"/>
      <c r="Q28" s="44"/>
      <c r="R28" s="44"/>
      <c r="S28" s="42"/>
      <c r="T28" s="42"/>
      <c r="U28" s="50">
        <f t="shared" si="0"/>
        <v>0</v>
      </c>
      <c r="V28" s="49"/>
      <c r="W28" s="49"/>
      <c r="X28" s="49"/>
    </row>
    <row r="29" spans="1:24" ht="51" customHeight="1" x14ac:dyDescent="0.4">
      <c r="A29" s="39" t="s">
        <v>59</v>
      </c>
      <c r="B29" s="39" t="s">
        <v>60</v>
      </c>
      <c r="C29" s="39">
        <v>1749</v>
      </c>
      <c r="D29" s="39" t="s">
        <v>16</v>
      </c>
      <c r="E29" s="39" t="s">
        <v>17</v>
      </c>
      <c r="F29" s="40"/>
      <c r="G29" s="41">
        <v>1</v>
      </c>
      <c r="H29" s="42"/>
      <c r="I29" s="44"/>
      <c r="J29" s="44"/>
      <c r="K29" s="42"/>
      <c r="L29" s="42"/>
      <c r="M29" s="44"/>
      <c r="N29" s="44"/>
      <c r="O29" s="42"/>
      <c r="P29" s="42"/>
      <c r="Q29" s="44"/>
      <c r="R29" s="44"/>
      <c r="S29" s="42"/>
      <c r="T29" s="42"/>
      <c r="U29" s="50">
        <f t="shared" si="0"/>
        <v>1</v>
      </c>
      <c r="V29" s="49"/>
      <c r="W29" s="49"/>
      <c r="X29" s="49"/>
    </row>
    <row r="30" spans="1:24" ht="51" customHeight="1" x14ac:dyDescent="0.4">
      <c r="A30" s="39" t="s">
        <v>61</v>
      </c>
      <c r="B30" s="39" t="s">
        <v>62</v>
      </c>
      <c r="C30" s="39">
        <v>15778</v>
      </c>
      <c r="D30" s="39" t="s">
        <v>16</v>
      </c>
      <c r="E30" s="39" t="s">
        <v>63</v>
      </c>
      <c r="F30" s="40"/>
      <c r="G30" s="42"/>
      <c r="H30" s="42"/>
      <c r="I30" s="44"/>
      <c r="J30" s="44"/>
      <c r="K30" s="42"/>
      <c r="L30" s="42"/>
      <c r="M30" s="44"/>
      <c r="N30" s="44"/>
      <c r="O30" s="42"/>
      <c r="P30" s="42"/>
      <c r="Q30" s="44"/>
      <c r="R30" s="44"/>
      <c r="S30" s="42"/>
      <c r="T30" s="42"/>
      <c r="U30" s="55">
        <f t="shared" si="0"/>
        <v>0</v>
      </c>
      <c r="V30" s="49"/>
      <c r="W30" s="49"/>
      <c r="X30" s="49"/>
    </row>
    <row r="31" spans="1:24" ht="51" customHeight="1" x14ac:dyDescent="0.4">
      <c r="A31" s="39" t="s">
        <v>64</v>
      </c>
      <c r="B31" s="39" t="s">
        <v>65</v>
      </c>
      <c r="C31" s="39">
        <v>99010029</v>
      </c>
      <c r="D31" s="39" t="s">
        <v>66</v>
      </c>
      <c r="E31" s="39"/>
      <c r="F31" s="40"/>
      <c r="G31" s="42">
        <v>0.5</v>
      </c>
      <c r="H31" s="42"/>
      <c r="I31" s="44"/>
      <c r="J31" s="44"/>
      <c r="K31" s="42"/>
      <c r="L31" s="42"/>
      <c r="M31" s="44"/>
      <c r="N31" s="44"/>
      <c r="O31" s="42"/>
      <c r="P31" s="42"/>
      <c r="Q31" s="44"/>
      <c r="R31" s="44"/>
      <c r="S31" s="42"/>
      <c r="T31" s="42"/>
      <c r="U31" s="50">
        <f t="shared" si="0"/>
        <v>0.5</v>
      </c>
      <c r="V31" s="49"/>
      <c r="W31" s="49"/>
      <c r="X31" s="49"/>
    </row>
    <row r="32" spans="1:24" ht="48.6" customHeight="1" x14ac:dyDescent="0.25"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57">
        <f>SUM(U7:U31)</f>
        <v>11.75</v>
      </c>
      <c r="V32" s="49"/>
      <c r="W32" s="49"/>
      <c r="X32" s="49"/>
    </row>
  </sheetData>
  <sheetProtection sheet="1" objects="1" scenarios="1" formatCells="0" formatColumns="0" formatRows="0" insertColumns="0" insertRows="0" insertHyperlinks="0" deleteColumns="0" deleteRows="0" sort="0" autoFilter="0" pivotTables="0"/>
  <customSheetViews>
    <customSheetView guid="{18F37246-3BE4-4159-ACDD-F1033D0770D3}" scale="55" fitToPage="1">
      <pane xSplit="6" ySplit="6" topLeftCell="G7" activePane="bottomRight" state="frozen"/>
      <selection pane="bottomRight" activeCell="U11" sqref="U11"/>
      <pageMargins left="0.7" right="0.7" top="0.75" bottom="0.75" header="0.3" footer="0.3"/>
      <pageSetup paperSize="8" scale="52" orientation="landscape" r:id="rId1"/>
    </customSheetView>
    <customSheetView guid="{D10674BC-7251-4C6D-855E-5D19ED2F13E3}" scale="55" fitToPage="1">
      <pane xSplit="6" ySplit="6" topLeftCell="G7" activePane="bottomRight" state="frozen"/>
      <selection pane="bottomRight" activeCell="J20" sqref="J20"/>
      <pageMargins left="0.7" right="0.7" top="0.75" bottom="0.75" header="0.3" footer="0.3"/>
      <pageSetup paperSize="8" scale="52" orientation="landscape" r:id="rId2"/>
    </customSheetView>
    <customSheetView guid="{B2EFFC26-BB41-4DD8-9FDA-0ADF4385026F}" scale="55" fitToPage="1">
      <pane xSplit="6" ySplit="6" topLeftCell="I7" activePane="bottomRight" state="frozen"/>
      <selection pane="bottomRight" activeCell="X10" sqref="X10"/>
      <pageMargins left="0.7" right="0.7" top="0.75" bottom="0.75" header="0.3" footer="0.3"/>
      <pageSetup paperSize="8" scale="52" orientation="landscape" r:id="rId3"/>
    </customSheetView>
  </customSheetViews>
  <mergeCells count="18">
    <mergeCell ref="K4:L4"/>
    <mergeCell ref="M4:N4"/>
    <mergeCell ref="O4:P4"/>
    <mergeCell ref="Q4:R4"/>
    <mergeCell ref="S4:T4"/>
    <mergeCell ref="K5:L5"/>
    <mergeCell ref="M5:N5"/>
    <mergeCell ref="O5:P5"/>
    <mergeCell ref="Q5:R5"/>
    <mergeCell ref="S5:T5"/>
    <mergeCell ref="I4:J4"/>
    <mergeCell ref="B1:D1"/>
    <mergeCell ref="B2:D2"/>
    <mergeCell ref="A3:A5"/>
    <mergeCell ref="B3:D5"/>
    <mergeCell ref="G4:H4"/>
    <mergeCell ref="G5:H5"/>
    <mergeCell ref="I5:J5"/>
  </mergeCells>
  <pageMargins left="0.7" right="0.7" top="0.75" bottom="0.75" header="0.3" footer="0.3"/>
  <pageSetup paperSize="8" scale="52" orientation="landscape"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KW5</vt:lpstr>
      <vt:lpstr>KW6</vt:lpstr>
      <vt:lpstr>'KW5'!Print_Area</vt:lpstr>
    </vt:vector>
  </TitlesOfParts>
  <Company>Bentley Motors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Gaffney, Michael (PMAM2)</dc:creator>
  <cp:lastModifiedBy>Leitao, Nuno (PMPA)</cp:lastModifiedBy>
  <cp:lastPrinted>2018-02-05T09:43:52Z</cp:lastPrinted>
  <dcterms:created xsi:type="dcterms:W3CDTF">2018-01-29T06:30:25Z</dcterms:created>
  <dcterms:modified xsi:type="dcterms:W3CDTF">2018-02-07T11:50:16Z</dcterms:modified>
</cp:coreProperties>
</file>