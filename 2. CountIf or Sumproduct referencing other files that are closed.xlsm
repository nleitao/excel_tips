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65" windowWidth="27960" windowHeight="11010" activeTab="2"/>
  </bookViews>
  <sheets>
    <sheet name="All-Up" sheetId="3" r:id="rId1"/>
    <sheet name="By day" sheetId="2" r:id="rId2"/>
    <sheet name="DATA" sheetId="1" r:id="rId3"/>
  </sheets>
  <functionGroups builtInGroupCount="17"/>
  <calcPr calcId="145621"/>
</workbook>
</file>

<file path=xl/calcChain.xml><?xml version="1.0" encoding="utf-8"?>
<calcChain xmlns="http://schemas.openxmlformats.org/spreadsheetml/2006/main">
  <c r="V4" i="1" l="1"/>
  <c r="W4" i="1"/>
  <c r="X4" i="1"/>
  <c r="Y4" i="1"/>
  <c r="N5" i="1" l="1"/>
  <c r="O5" i="1"/>
  <c r="P5" i="1"/>
  <c r="R5" i="1"/>
  <c r="S5" i="1"/>
  <c r="T5" i="1"/>
  <c r="N6" i="1"/>
  <c r="O6" i="1"/>
  <c r="P6" i="1"/>
  <c r="R6" i="1"/>
  <c r="S6" i="1"/>
  <c r="T6" i="1"/>
  <c r="N7" i="1"/>
  <c r="Q7" i="1" s="1"/>
  <c r="O7" i="1"/>
  <c r="P7" i="1"/>
  <c r="R7" i="1"/>
  <c r="S7" i="1"/>
  <c r="T7" i="1"/>
  <c r="N8" i="1"/>
  <c r="O8" i="1"/>
  <c r="P8" i="1"/>
  <c r="R8" i="1"/>
  <c r="S8" i="1"/>
  <c r="T8" i="1"/>
  <c r="N9" i="1"/>
  <c r="Q9" i="1" s="1"/>
  <c r="O9" i="1"/>
  <c r="P9" i="1"/>
  <c r="R9" i="1"/>
  <c r="S9" i="1"/>
  <c r="T9" i="1"/>
  <c r="N10" i="1"/>
  <c r="O10" i="1"/>
  <c r="P10" i="1"/>
  <c r="R10" i="1"/>
  <c r="U10" i="1" s="1"/>
  <c r="S10" i="1"/>
  <c r="T10" i="1"/>
  <c r="N12" i="1"/>
  <c r="O12" i="1"/>
  <c r="P12" i="1"/>
  <c r="R12" i="1"/>
  <c r="S12" i="1"/>
  <c r="T12" i="1"/>
  <c r="N13" i="1"/>
  <c r="O13" i="1"/>
  <c r="P13" i="1"/>
  <c r="R13" i="1"/>
  <c r="S13" i="1"/>
  <c r="T13" i="1"/>
  <c r="N14" i="1"/>
  <c r="O14" i="1"/>
  <c r="P14" i="1"/>
  <c r="R14" i="1"/>
  <c r="S14" i="1"/>
  <c r="T14" i="1"/>
  <c r="N15" i="1"/>
  <c r="O15" i="1"/>
  <c r="P15" i="1"/>
  <c r="R15" i="1"/>
  <c r="S15" i="1"/>
  <c r="T15" i="1"/>
  <c r="N16" i="1"/>
  <c r="Q16" i="1" s="1"/>
  <c r="O16" i="1"/>
  <c r="P16" i="1"/>
  <c r="R16" i="1"/>
  <c r="U16" i="1" s="1"/>
  <c r="S16" i="1"/>
  <c r="T16" i="1"/>
  <c r="N17" i="1"/>
  <c r="O17" i="1"/>
  <c r="P17" i="1"/>
  <c r="R17" i="1"/>
  <c r="S17" i="1"/>
  <c r="T17" i="1"/>
  <c r="N18" i="1"/>
  <c r="Q18" i="1" s="1"/>
  <c r="O18" i="1"/>
  <c r="P18" i="1"/>
  <c r="R18" i="1"/>
  <c r="U18" i="1" s="1"/>
  <c r="S18" i="1"/>
  <c r="T18" i="1"/>
  <c r="N19" i="1"/>
  <c r="O19" i="1"/>
  <c r="P19" i="1"/>
  <c r="R19" i="1"/>
  <c r="S19" i="1"/>
  <c r="T19" i="1"/>
  <c r="N20" i="1"/>
  <c r="Q20" i="1" s="1"/>
  <c r="O20" i="1"/>
  <c r="P20" i="1"/>
  <c r="R20" i="1"/>
  <c r="S20" i="1"/>
  <c r="T20" i="1"/>
  <c r="N21" i="1"/>
  <c r="O21" i="1"/>
  <c r="P21" i="1"/>
  <c r="R21" i="1"/>
  <c r="S21" i="1"/>
  <c r="T21" i="1"/>
  <c r="N22" i="1"/>
  <c r="Q22" i="1" s="1"/>
  <c r="O22" i="1"/>
  <c r="P22" i="1"/>
  <c r="R22" i="1"/>
  <c r="U22" i="1" s="1"/>
  <c r="S22" i="1"/>
  <c r="T22" i="1"/>
  <c r="N23" i="1"/>
  <c r="O23" i="1"/>
  <c r="P23" i="1"/>
  <c r="R23" i="1"/>
  <c r="S23" i="1"/>
  <c r="T23" i="1"/>
  <c r="N24" i="1"/>
  <c r="Q24" i="1" s="1"/>
  <c r="O24" i="1"/>
  <c r="P24" i="1"/>
  <c r="R24" i="1"/>
  <c r="U24" i="1" s="1"/>
  <c r="S24" i="1"/>
  <c r="T24" i="1"/>
  <c r="N25" i="1"/>
  <c r="O25" i="1"/>
  <c r="P25" i="1"/>
  <c r="R25" i="1"/>
  <c r="S25" i="1"/>
  <c r="T25" i="1"/>
  <c r="N26" i="1"/>
  <c r="Q26" i="1" s="1"/>
  <c r="O26" i="1"/>
  <c r="P26" i="1"/>
  <c r="R26" i="1"/>
  <c r="U26" i="1" s="1"/>
  <c r="S26" i="1"/>
  <c r="T26" i="1"/>
  <c r="N27" i="1"/>
  <c r="O27" i="1"/>
  <c r="P27" i="1"/>
  <c r="R27" i="1"/>
  <c r="S27" i="1"/>
  <c r="T27" i="1"/>
  <c r="N28" i="1"/>
  <c r="Q28" i="1" s="1"/>
  <c r="O28" i="1"/>
  <c r="P28" i="1"/>
  <c r="R28" i="1"/>
  <c r="U28" i="1" s="1"/>
  <c r="S28" i="1"/>
  <c r="T28" i="1"/>
  <c r="N29" i="1"/>
  <c r="O29" i="1"/>
  <c r="P29" i="1"/>
  <c r="R29" i="1"/>
  <c r="S29" i="1"/>
  <c r="T29" i="1"/>
  <c r="N30" i="1"/>
  <c r="Q30" i="1" s="1"/>
  <c r="O30" i="1"/>
  <c r="P30" i="1"/>
  <c r="R30" i="1"/>
  <c r="U30" i="1" s="1"/>
  <c r="S30" i="1"/>
  <c r="T30" i="1"/>
  <c r="N31" i="1"/>
  <c r="O31" i="1"/>
  <c r="P31" i="1"/>
  <c r="R31" i="1"/>
  <c r="S31" i="1"/>
  <c r="T31" i="1"/>
  <c r="N32" i="1"/>
  <c r="Q32" i="1" s="1"/>
  <c r="O32" i="1"/>
  <c r="P32" i="1"/>
  <c r="R32" i="1"/>
  <c r="U32" i="1" s="1"/>
  <c r="S32" i="1"/>
  <c r="T32" i="1"/>
  <c r="N33" i="1"/>
  <c r="O33" i="1"/>
  <c r="P33" i="1"/>
  <c r="R33" i="1"/>
  <c r="S33" i="1"/>
  <c r="T33" i="1"/>
  <c r="N34" i="1"/>
  <c r="Q34" i="1" s="1"/>
  <c r="O34" i="1"/>
  <c r="P34" i="1"/>
  <c r="R34" i="1"/>
  <c r="U34" i="1" s="1"/>
  <c r="S34" i="1"/>
  <c r="T34" i="1"/>
  <c r="N35" i="1"/>
  <c r="O35" i="1"/>
  <c r="P35" i="1"/>
  <c r="R35" i="1"/>
  <c r="S35" i="1"/>
  <c r="T35" i="1"/>
  <c r="N36" i="1"/>
  <c r="Q36" i="1" s="1"/>
  <c r="O36" i="1"/>
  <c r="P36" i="1"/>
  <c r="R36" i="1"/>
  <c r="U36" i="1" s="1"/>
  <c r="S36" i="1"/>
  <c r="T36" i="1"/>
  <c r="N37" i="1"/>
  <c r="O37" i="1"/>
  <c r="P37" i="1"/>
  <c r="R37" i="1"/>
  <c r="S37" i="1"/>
  <c r="T37" i="1"/>
  <c r="N38" i="1"/>
  <c r="Q38" i="1" s="1"/>
  <c r="O38" i="1"/>
  <c r="P38" i="1"/>
  <c r="R38" i="1"/>
  <c r="U38" i="1" s="1"/>
  <c r="S38" i="1"/>
  <c r="T38" i="1"/>
  <c r="N39" i="1"/>
  <c r="O39" i="1"/>
  <c r="P39" i="1"/>
  <c r="R39" i="1"/>
  <c r="S39" i="1"/>
  <c r="T39" i="1"/>
  <c r="N40" i="1"/>
  <c r="Q40" i="1" s="1"/>
  <c r="O40" i="1"/>
  <c r="P40" i="1"/>
  <c r="R40" i="1"/>
  <c r="U40" i="1" s="1"/>
  <c r="S40" i="1"/>
  <c r="T40" i="1"/>
  <c r="N41" i="1"/>
  <c r="O41" i="1"/>
  <c r="P41" i="1"/>
  <c r="R41" i="1"/>
  <c r="S41" i="1"/>
  <c r="T41" i="1"/>
  <c r="N42" i="1"/>
  <c r="Q42" i="1" s="1"/>
  <c r="O42" i="1"/>
  <c r="P42" i="1"/>
  <c r="R42" i="1"/>
  <c r="U42" i="1" s="1"/>
  <c r="S42" i="1"/>
  <c r="T42" i="1"/>
  <c r="N43" i="1"/>
  <c r="O43" i="1"/>
  <c r="P43" i="1"/>
  <c r="R43" i="1"/>
  <c r="S43" i="1"/>
  <c r="T43" i="1"/>
  <c r="N44" i="1"/>
  <c r="Q44" i="1" s="1"/>
  <c r="O44" i="1"/>
  <c r="P44" i="1"/>
  <c r="R44" i="1"/>
  <c r="U44" i="1" s="1"/>
  <c r="S44" i="1"/>
  <c r="T44" i="1"/>
  <c r="N45" i="1"/>
  <c r="O45" i="1"/>
  <c r="P45" i="1"/>
  <c r="R45" i="1"/>
  <c r="S45" i="1"/>
  <c r="T45" i="1"/>
  <c r="N46" i="1"/>
  <c r="Q46" i="1" s="1"/>
  <c r="O46" i="1"/>
  <c r="P46" i="1"/>
  <c r="R46" i="1"/>
  <c r="U46" i="1" s="1"/>
  <c r="S46" i="1"/>
  <c r="T46" i="1"/>
  <c r="N47" i="1"/>
  <c r="O47" i="1"/>
  <c r="P47" i="1"/>
  <c r="R47" i="1"/>
  <c r="S47" i="1"/>
  <c r="T47" i="1"/>
  <c r="N48" i="1"/>
  <c r="Q48" i="1" s="1"/>
  <c r="O48" i="1"/>
  <c r="P48" i="1"/>
  <c r="R48" i="1"/>
  <c r="U48" i="1" s="1"/>
  <c r="S48" i="1"/>
  <c r="T48" i="1"/>
  <c r="N49" i="1"/>
  <c r="O49" i="1"/>
  <c r="P49" i="1"/>
  <c r="R49" i="1"/>
  <c r="S49" i="1"/>
  <c r="T49" i="1"/>
  <c r="N50" i="1"/>
  <c r="Q50" i="1" s="1"/>
  <c r="O50" i="1"/>
  <c r="P50" i="1"/>
  <c r="R50" i="1"/>
  <c r="U50" i="1" s="1"/>
  <c r="S50" i="1"/>
  <c r="T50" i="1"/>
  <c r="N51" i="1"/>
  <c r="O51" i="1"/>
  <c r="P51" i="1"/>
  <c r="R51" i="1"/>
  <c r="S51" i="1"/>
  <c r="T51" i="1"/>
  <c r="N52" i="1"/>
  <c r="Q52" i="1" s="1"/>
  <c r="O52" i="1"/>
  <c r="P52" i="1"/>
  <c r="R52" i="1"/>
  <c r="U52" i="1" s="1"/>
  <c r="S52" i="1"/>
  <c r="T52" i="1"/>
  <c r="N53" i="1"/>
  <c r="O53" i="1"/>
  <c r="P53" i="1"/>
  <c r="R53" i="1"/>
  <c r="S53" i="1"/>
  <c r="T53" i="1"/>
  <c r="N54" i="1"/>
  <c r="Q54" i="1" s="1"/>
  <c r="O54" i="1"/>
  <c r="P54" i="1"/>
  <c r="R54" i="1"/>
  <c r="U54" i="1" s="1"/>
  <c r="S54" i="1"/>
  <c r="T54" i="1"/>
  <c r="N55" i="1"/>
  <c r="O55" i="1"/>
  <c r="P55" i="1"/>
  <c r="R55" i="1"/>
  <c r="S55" i="1"/>
  <c r="T55" i="1"/>
  <c r="N56" i="1"/>
  <c r="Q56" i="1" s="1"/>
  <c r="O56" i="1"/>
  <c r="P56" i="1"/>
  <c r="R56" i="1"/>
  <c r="U56" i="1" s="1"/>
  <c r="S56" i="1"/>
  <c r="T56" i="1"/>
  <c r="J12" i="1"/>
  <c r="K12" i="1"/>
  <c r="L12" i="1"/>
  <c r="J13" i="1"/>
  <c r="K13" i="1"/>
  <c r="L13" i="1"/>
  <c r="J14" i="1"/>
  <c r="M14" i="1" s="1"/>
  <c r="K14" i="1"/>
  <c r="L14" i="1"/>
  <c r="J15" i="1"/>
  <c r="M15" i="1" s="1"/>
  <c r="K15" i="1"/>
  <c r="L15" i="1"/>
  <c r="J16" i="1"/>
  <c r="K16" i="1"/>
  <c r="L16" i="1"/>
  <c r="J17" i="1"/>
  <c r="K17" i="1"/>
  <c r="L17" i="1"/>
  <c r="J18" i="1"/>
  <c r="M18" i="1" s="1"/>
  <c r="K18" i="1"/>
  <c r="L18" i="1"/>
  <c r="J19" i="1"/>
  <c r="M19" i="1" s="1"/>
  <c r="K19" i="1"/>
  <c r="L19" i="1"/>
  <c r="J20" i="1"/>
  <c r="K20" i="1"/>
  <c r="L20" i="1"/>
  <c r="J21" i="1"/>
  <c r="K21" i="1"/>
  <c r="L21" i="1"/>
  <c r="J22" i="1"/>
  <c r="M22" i="1" s="1"/>
  <c r="K22" i="1"/>
  <c r="L22" i="1"/>
  <c r="J23" i="1"/>
  <c r="M23" i="1" s="1"/>
  <c r="K23" i="1"/>
  <c r="L23" i="1"/>
  <c r="J24" i="1"/>
  <c r="K24" i="1"/>
  <c r="L24" i="1"/>
  <c r="J25" i="1"/>
  <c r="K25" i="1"/>
  <c r="L25" i="1"/>
  <c r="J26" i="1"/>
  <c r="M26" i="1" s="1"/>
  <c r="K26" i="1"/>
  <c r="L26" i="1"/>
  <c r="J27" i="1"/>
  <c r="M27" i="1" s="1"/>
  <c r="K27" i="1"/>
  <c r="L27" i="1"/>
  <c r="J28" i="1"/>
  <c r="K28" i="1"/>
  <c r="L28" i="1"/>
  <c r="J29" i="1"/>
  <c r="K29" i="1"/>
  <c r="L29" i="1"/>
  <c r="J30" i="1"/>
  <c r="M30" i="1" s="1"/>
  <c r="K30" i="1"/>
  <c r="L30" i="1"/>
  <c r="J31" i="1"/>
  <c r="M31" i="1" s="1"/>
  <c r="K31" i="1"/>
  <c r="L31" i="1"/>
  <c r="J32" i="1"/>
  <c r="K32" i="1"/>
  <c r="L32" i="1"/>
  <c r="J33" i="1"/>
  <c r="K33" i="1"/>
  <c r="L33" i="1"/>
  <c r="J34" i="1"/>
  <c r="M34" i="1" s="1"/>
  <c r="K34" i="1"/>
  <c r="L34" i="1"/>
  <c r="J35" i="1"/>
  <c r="M35" i="1" s="1"/>
  <c r="K35" i="1"/>
  <c r="L35" i="1"/>
  <c r="J36" i="1"/>
  <c r="K36" i="1"/>
  <c r="L36" i="1"/>
  <c r="J37" i="1"/>
  <c r="K37" i="1"/>
  <c r="L37" i="1"/>
  <c r="J38" i="1"/>
  <c r="M38" i="1" s="1"/>
  <c r="K38" i="1"/>
  <c r="L38" i="1"/>
  <c r="J39" i="1"/>
  <c r="M39" i="1" s="1"/>
  <c r="K39" i="1"/>
  <c r="L39" i="1"/>
  <c r="J40" i="1"/>
  <c r="K40" i="1"/>
  <c r="L40" i="1"/>
  <c r="J41" i="1"/>
  <c r="K41" i="1"/>
  <c r="L41" i="1"/>
  <c r="J42" i="1"/>
  <c r="M42" i="1" s="1"/>
  <c r="K42" i="1"/>
  <c r="L42" i="1"/>
  <c r="J43" i="1"/>
  <c r="M43" i="1" s="1"/>
  <c r="K43" i="1"/>
  <c r="L43" i="1"/>
  <c r="J44" i="1"/>
  <c r="K44" i="1"/>
  <c r="L44" i="1"/>
  <c r="J45" i="1"/>
  <c r="K45" i="1"/>
  <c r="L45" i="1"/>
  <c r="J46" i="1"/>
  <c r="M46" i="1" s="1"/>
  <c r="K46" i="1"/>
  <c r="L46" i="1"/>
  <c r="J47" i="1"/>
  <c r="M47" i="1" s="1"/>
  <c r="K47" i="1"/>
  <c r="L47" i="1"/>
  <c r="J48" i="1"/>
  <c r="K48" i="1"/>
  <c r="L48" i="1"/>
  <c r="J49" i="1"/>
  <c r="K49" i="1"/>
  <c r="L49" i="1"/>
  <c r="J50" i="1"/>
  <c r="M50" i="1" s="1"/>
  <c r="K50" i="1"/>
  <c r="L50" i="1"/>
  <c r="J51" i="1"/>
  <c r="M51" i="1" s="1"/>
  <c r="K51" i="1"/>
  <c r="L51" i="1"/>
  <c r="J52" i="1"/>
  <c r="K52" i="1"/>
  <c r="L52" i="1"/>
  <c r="J53" i="1"/>
  <c r="K53" i="1"/>
  <c r="L53" i="1"/>
  <c r="J54" i="1"/>
  <c r="M54" i="1" s="1"/>
  <c r="K54" i="1"/>
  <c r="L54" i="1"/>
  <c r="J55" i="1"/>
  <c r="M55" i="1" s="1"/>
  <c r="K55" i="1"/>
  <c r="L55" i="1"/>
  <c r="J56" i="1"/>
  <c r="K56" i="1"/>
  <c r="L56" i="1"/>
  <c r="J5" i="1"/>
  <c r="K5" i="1"/>
  <c r="L5" i="1"/>
  <c r="J6" i="1"/>
  <c r="M6" i="1" s="1"/>
  <c r="K6" i="1"/>
  <c r="L6" i="1"/>
  <c r="J7" i="1"/>
  <c r="M7" i="1" s="1"/>
  <c r="K7" i="1"/>
  <c r="L7" i="1"/>
  <c r="J8" i="1"/>
  <c r="K8" i="1"/>
  <c r="L8" i="1"/>
  <c r="J9" i="1"/>
  <c r="K9" i="1"/>
  <c r="L9" i="1"/>
  <c r="J10" i="1"/>
  <c r="M10" i="1" s="1"/>
  <c r="K10" i="1"/>
  <c r="L10" i="1"/>
  <c r="F12" i="1"/>
  <c r="I12" i="1" s="1"/>
  <c r="G12" i="1"/>
  <c r="H12" i="1"/>
  <c r="F13" i="1"/>
  <c r="G13" i="1"/>
  <c r="H13" i="1"/>
  <c r="F14" i="1"/>
  <c r="G14" i="1"/>
  <c r="H14" i="1"/>
  <c r="F15" i="1"/>
  <c r="I15" i="1" s="1"/>
  <c r="G15" i="1"/>
  <c r="H15" i="1"/>
  <c r="F16" i="1"/>
  <c r="I16" i="1" s="1"/>
  <c r="G16" i="1"/>
  <c r="H16" i="1"/>
  <c r="F17" i="1"/>
  <c r="G17" i="1"/>
  <c r="H17" i="1"/>
  <c r="F18" i="1"/>
  <c r="G18" i="1"/>
  <c r="H18" i="1"/>
  <c r="F19" i="1"/>
  <c r="I19" i="1" s="1"/>
  <c r="G19" i="1"/>
  <c r="H19" i="1"/>
  <c r="F20" i="1"/>
  <c r="I20" i="1" s="1"/>
  <c r="G20" i="1"/>
  <c r="H20" i="1"/>
  <c r="F21" i="1"/>
  <c r="G21" i="1"/>
  <c r="H21" i="1"/>
  <c r="F22" i="1"/>
  <c r="G22" i="1"/>
  <c r="H22" i="1"/>
  <c r="F23" i="1"/>
  <c r="I23" i="1" s="1"/>
  <c r="G23" i="1"/>
  <c r="H23" i="1"/>
  <c r="F24" i="1"/>
  <c r="I24" i="1" s="1"/>
  <c r="G24" i="1"/>
  <c r="H24" i="1"/>
  <c r="F25" i="1"/>
  <c r="G25" i="1"/>
  <c r="H25" i="1"/>
  <c r="F26" i="1"/>
  <c r="G26" i="1"/>
  <c r="H26" i="1"/>
  <c r="F27" i="1"/>
  <c r="I27" i="1" s="1"/>
  <c r="G27" i="1"/>
  <c r="H27" i="1"/>
  <c r="F28" i="1"/>
  <c r="I28" i="1" s="1"/>
  <c r="G28" i="1"/>
  <c r="H28" i="1"/>
  <c r="F29" i="1"/>
  <c r="G29" i="1"/>
  <c r="H29" i="1"/>
  <c r="F30" i="1"/>
  <c r="G30" i="1"/>
  <c r="H30" i="1"/>
  <c r="F31" i="1"/>
  <c r="I31" i="1" s="1"/>
  <c r="G31" i="1"/>
  <c r="H31" i="1"/>
  <c r="F32" i="1"/>
  <c r="I32" i="1" s="1"/>
  <c r="G32" i="1"/>
  <c r="H32" i="1"/>
  <c r="F33" i="1"/>
  <c r="G33" i="1"/>
  <c r="H33" i="1"/>
  <c r="F34" i="1"/>
  <c r="G34" i="1"/>
  <c r="H34" i="1"/>
  <c r="F35" i="1"/>
  <c r="I35" i="1" s="1"/>
  <c r="G35" i="1"/>
  <c r="H35" i="1"/>
  <c r="F36" i="1"/>
  <c r="I36" i="1" s="1"/>
  <c r="G36" i="1"/>
  <c r="H36" i="1"/>
  <c r="F37" i="1"/>
  <c r="G37" i="1"/>
  <c r="H37" i="1"/>
  <c r="F38" i="1"/>
  <c r="G38" i="1"/>
  <c r="H38" i="1"/>
  <c r="F39" i="1"/>
  <c r="I39" i="1" s="1"/>
  <c r="G39" i="1"/>
  <c r="H39" i="1"/>
  <c r="F40" i="1"/>
  <c r="I40" i="1" s="1"/>
  <c r="G40" i="1"/>
  <c r="H40" i="1"/>
  <c r="F41" i="1"/>
  <c r="G41" i="1"/>
  <c r="H41" i="1"/>
  <c r="F42" i="1"/>
  <c r="G42" i="1"/>
  <c r="H42" i="1"/>
  <c r="F43" i="1"/>
  <c r="I43" i="1" s="1"/>
  <c r="G43" i="1"/>
  <c r="H43" i="1"/>
  <c r="F44" i="1"/>
  <c r="I44" i="1" s="1"/>
  <c r="G44" i="1"/>
  <c r="H44" i="1"/>
  <c r="F45" i="1"/>
  <c r="G45" i="1"/>
  <c r="H45" i="1"/>
  <c r="F46" i="1"/>
  <c r="G46" i="1"/>
  <c r="H46" i="1"/>
  <c r="F47" i="1"/>
  <c r="I47" i="1" s="1"/>
  <c r="G47" i="1"/>
  <c r="H47" i="1"/>
  <c r="F48" i="1"/>
  <c r="I48" i="1" s="1"/>
  <c r="G48" i="1"/>
  <c r="H48" i="1"/>
  <c r="F49" i="1"/>
  <c r="G49" i="1"/>
  <c r="H49" i="1"/>
  <c r="F50" i="1"/>
  <c r="G50" i="1"/>
  <c r="H50" i="1"/>
  <c r="F51" i="1"/>
  <c r="I51" i="1" s="1"/>
  <c r="G51" i="1"/>
  <c r="H51" i="1"/>
  <c r="F52" i="1"/>
  <c r="I52" i="1" s="1"/>
  <c r="G52" i="1"/>
  <c r="H52" i="1"/>
  <c r="F53" i="1"/>
  <c r="G53" i="1"/>
  <c r="H53" i="1"/>
  <c r="F54" i="1"/>
  <c r="G54" i="1"/>
  <c r="H54" i="1"/>
  <c r="F55" i="1"/>
  <c r="I55" i="1" s="1"/>
  <c r="G55" i="1"/>
  <c r="H55" i="1"/>
  <c r="F56" i="1"/>
  <c r="I56" i="1" s="1"/>
  <c r="G56" i="1"/>
  <c r="H56" i="1"/>
  <c r="F5" i="1"/>
  <c r="G5" i="1"/>
  <c r="H5" i="1"/>
  <c r="F6" i="1"/>
  <c r="G6" i="1"/>
  <c r="H6" i="1"/>
  <c r="F7" i="1"/>
  <c r="I7" i="1" s="1"/>
  <c r="G7" i="1"/>
  <c r="H7" i="1"/>
  <c r="F8" i="1"/>
  <c r="I8" i="1" s="1"/>
  <c r="G8" i="1"/>
  <c r="H8" i="1"/>
  <c r="F9" i="1"/>
  <c r="G9" i="1"/>
  <c r="H9" i="1"/>
  <c r="F10" i="1"/>
  <c r="G10" i="1"/>
  <c r="H10" i="1"/>
  <c r="F11" i="1"/>
  <c r="I11" i="1" s="1"/>
  <c r="G11" i="1"/>
  <c r="H11" i="1"/>
  <c r="B12" i="1"/>
  <c r="E12" i="1" s="1"/>
  <c r="C12" i="1"/>
  <c r="D12" i="1"/>
  <c r="B13" i="1"/>
  <c r="C13" i="1"/>
  <c r="D13" i="1"/>
  <c r="B14" i="1"/>
  <c r="C14" i="1"/>
  <c r="D14" i="1"/>
  <c r="B15" i="1"/>
  <c r="E15" i="1" s="1"/>
  <c r="C15" i="1"/>
  <c r="D15" i="1"/>
  <c r="B16" i="1"/>
  <c r="E16" i="1" s="1"/>
  <c r="C16" i="1"/>
  <c r="D16" i="1"/>
  <c r="B17" i="1"/>
  <c r="C17" i="1"/>
  <c r="D17" i="1"/>
  <c r="B18" i="1"/>
  <c r="C18" i="1"/>
  <c r="D18" i="1"/>
  <c r="B19" i="1"/>
  <c r="E19" i="1" s="1"/>
  <c r="C19" i="1"/>
  <c r="D19" i="1"/>
  <c r="B20" i="1"/>
  <c r="E20" i="1" s="1"/>
  <c r="C20" i="1"/>
  <c r="D20" i="1"/>
  <c r="B21" i="1"/>
  <c r="C21" i="1"/>
  <c r="D21" i="1"/>
  <c r="B22" i="1"/>
  <c r="C22" i="1"/>
  <c r="D22" i="1"/>
  <c r="B23" i="1"/>
  <c r="E23" i="1" s="1"/>
  <c r="C23" i="1"/>
  <c r="D23" i="1"/>
  <c r="B24" i="1"/>
  <c r="E24" i="1" s="1"/>
  <c r="C24" i="1"/>
  <c r="D24" i="1"/>
  <c r="B25" i="1"/>
  <c r="C25" i="1"/>
  <c r="D25" i="1"/>
  <c r="B26" i="1"/>
  <c r="C26" i="1"/>
  <c r="D26" i="1"/>
  <c r="B27" i="1"/>
  <c r="E27" i="1" s="1"/>
  <c r="C27" i="1"/>
  <c r="D27" i="1"/>
  <c r="B28" i="1"/>
  <c r="E28" i="1" s="1"/>
  <c r="C28" i="1"/>
  <c r="D28" i="1"/>
  <c r="B29" i="1"/>
  <c r="C29" i="1"/>
  <c r="D29" i="1"/>
  <c r="B30" i="1"/>
  <c r="C30" i="1"/>
  <c r="D30" i="1"/>
  <c r="B31" i="1"/>
  <c r="E31" i="1" s="1"/>
  <c r="C31" i="1"/>
  <c r="D31" i="1"/>
  <c r="B32" i="1"/>
  <c r="E32" i="1" s="1"/>
  <c r="C32" i="1"/>
  <c r="D32" i="1"/>
  <c r="B33" i="1"/>
  <c r="C33" i="1"/>
  <c r="D33" i="1"/>
  <c r="B34" i="1"/>
  <c r="C34" i="1"/>
  <c r="D34" i="1"/>
  <c r="B35" i="1"/>
  <c r="E35" i="1" s="1"/>
  <c r="C35" i="1"/>
  <c r="D35" i="1"/>
  <c r="B36" i="1"/>
  <c r="E36" i="1" s="1"/>
  <c r="C36" i="1"/>
  <c r="D36" i="1"/>
  <c r="B37" i="1"/>
  <c r="C37" i="1"/>
  <c r="D37" i="1"/>
  <c r="B38" i="1"/>
  <c r="C38" i="1"/>
  <c r="D38" i="1"/>
  <c r="B39" i="1"/>
  <c r="E39" i="1" s="1"/>
  <c r="C39" i="1"/>
  <c r="D39" i="1"/>
  <c r="B40" i="1"/>
  <c r="E40" i="1" s="1"/>
  <c r="C40" i="1"/>
  <c r="D40" i="1"/>
  <c r="B41" i="1"/>
  <c r="C41" i="1"/>
  <c r="D41" i="1"/>
  <c r="B42" i="1"/>
  <c r="C42" i="1"/>
  <c r="D42" i="1"/>
  <c r="B43" i="1"/>
  <c r="E43" i="1" s="1"/>
  <c r="C43" i="1"/>
  <c r="D43" i="1"/>
  <c r="B44" i="1"/>
  <c r="E44" i="1" s="1"/>
  <c r="C44" i="1"/>
  <c r="D44" i="1"/>
  <c r="B45" i="1"/>
  <c r="C45" i="1"/>
  <c r="D45" i="1"/>
  <c r="B46" i="1"/>
  <c r="C46" i="1"/>
  <c r="D46" i="1"/>
  <c r="B47" i="1"/>
  <c r="E47" i="1" s="1"/>
  <c r="C47" i="1"/>
  <c r="D47" i="1"/>
  <c r="B48" i="1"/>
  <c r="E48" i="1" s="1"/>
  <c r="C48" i="1"/>
  <c r="D48" i="1"/>
  <c r="B49" i="1"/>
  <c r="C49" i="1"/>
  <c r="D49" i="1"/>
  <c r="B50" i="1"/>
  <c r="C50" i="1"/>
  <c r="D50" i="1"/>
  <c r="B51" i="1"/>
  <c r="E51" i="1" s="1"/>
  <c r="C51" i="1"/>
  <c r="D51" i="1"/>
  <c r="B52" i="1"/>
  <c r="E52" i="1" s="1"/>
  <c r="C52" i="1"/>
  <c r="D52" i="1"/>
  <c r="B53" i="1"/>
  <c r="C53" i="1"/>
  <c r="D53" i="1"/>
  <c r="B54" i="1"/>
  <c r="C54" i="1"/>
  <c r="D54" i="1"/>
  <c r="B55" i="1"/>
  <c r="E55" i="1" s="1"/>
  <c r="C55" i="1"/>
  <c r="D55" i="1"/>
  <c r="B56" i="1"/>
  <c r="E56" i="1" s="1"/>
  <c r="C56" i="1"/>
  <c r="D56" i="1"/>
  <c r="B5" i="1"/>
  <c r="C5" i="1"/>
  <c r="D5" i="1"/>
  <c r="B6" i="1"/>
  <c r="C6" i="1"/>
  <c r="D6" i="1"/>
  <c r="B7" i="1"/>
  <c r="E7" i="1" s="1"/>
  <c r="C7" i="1"/>
  <c r="D7" i="1"/>
  <c r="B8" i="1"/>
  <c r="C8" i="1"/>
  <c r="D8" i="1"/>
  <c r="B9" i="1"/>
  <c r="C9" i="1"/>
  <c r="D9" i="1"/>
  <c r="B10" i="1"/>
  <c r="C10" i="1"/>
  <c r="D10" i="1"/>
  <c r="D11" i="1"/>
  <c r="C11" i="1"/>
  <c r="B11" i="1"/>
  <c r="L11" i="1"/>
  <c r="K11" i="1"/>
  <c r="J11" i="1"/>
  <c r="T11" i="1"/>
  <c r="S11" i="1"/>
  <c r="R11" i="1"/>
  <c r="P11" i="1"/>
  <c r="O11" i="1"/>
  <c r="N11" i="1"/>
  <c r="Q11" i="1" s="1"/>
  <c r="E8" i="1" l="1"/>
  <c r="U20" i="1"/>
  <c r="U14" i="1"/>
  <c r="U12" i="1"/>
  <c r="U9" i="1"/>
  <c r="U7" i="1"/>
  <c r="U5" i="1"/>
  <c r="E11" i="1"/>
  <c r="E9" i="1"/>
  <c r="E5" i="1"/>
  <c r="E53" i="1"/>
  <c r="E49" i="1"/>
  <c r="E45" i="1"/>
  <c r="E41" i="1"/>
  <c r="E37" i="1"/>
  <c r="E33" i="1"/>
  <c r="E29" i="1"/>
  <c r="E25" i="1"/>
  <c r="E21" i="1"/>
  <c r="E17" i="1"/>
  <c r="E13" i="1"/>
  <c r="I9" i="1"/>
  <c r="I5" i="1"/>
  <c r="I53" i="1"/>
  <c r="I49" i="1"/>
  <c r="I45" i="1"/>
  <c r="I41" i="1"/>
  <c r="I37" i="1"/>
  <c r="I33" i="1"/>
  <c r="I29" i="1"/>
  <c r="I25" i="1"/>
  <c r="I21" i="1"/>
  <c r="I17" i="1"/>
  <c r="I13" i="1"/>
  <c r="M8" i="1"/>
  <c r="M56" i="1"/>
  <c r="M52" i="1"/>
  <c r="M48" i="1"/>
  <c r="M44" i="1"/>
  <c r="M40" i="1"/>
  <c r="M36" i="1"/>
  <c r="M32" i="1"/>
  <c r="M28" i="1"/>
  <c r="M24" i="1"/>
  <c r="M20" i="1"/>
  <c r="M16" i="1"/>
  <c r="M12" i="1"/>
  <c r="Q55" i="1"/>
  <c r="Q53" i="1"/>
  <c r="Q51" i="1"/>
  <c r="Q49" i="1"/>
  <c r="Q47" i="1"/>
  <c r="Q45" i="1"/>
  <c r="Q43" i="1"/>
  <c r="Q41" i="1"/>
  <c r="Q39" i="1"/>
  <c r="Q37" i="1"/>
  <c r="Q35" i="1"/>
  <c r="Q33" i="1"/>
  <c r="Q31" i="1"/>
  <c r="Q29" i="1"/>
  <c r="Q27" i="1"/>
  <c r="Q25" i="1"/>
  <c r="Q23" i="1"/>
  <c r="Q21" i="1"/>
  <c r="Q19" i="1"/>
  <c r="Q17" i="1"/>
  <c r="Q15" i="1"/>
  <c r="Q13" i="1"/>
  <c r="Q10" i="1"/>
  <c r="Q8" i="1"/>
  <c r="Q6" i="1"/>
  <c r="M11" i="1"/>
  <c r="E10" i="1"/>
  <c r="E6" i="1"/>
  <c r="Y6" i="1" s="1"/>
  <c r="E54" i="1"/>
  <c r="E50" i="1"/>
  <c r="E46" i="1"/>
  <c r="E42" i="1"/>
  <c r="E38" i="1"/>
  <c r="E34" i="1"/>
  <c r="E30" i="1"/>
  <c r="E26" i="1"/>
  <c r="E22" i="1"/>
  <c r="E18" i="1"/>
  <c r="E14" i="1"/>
  <c r="I10" i="1"/>
  <c r="I6" i="1"/>
  <c r="I54" i="1"/>
  <c r="I50" i="1"/>
  <c r="I46" i="1"/>
  <c r="I42" i="1"/>
  <c r="I38" i="1"/>
  <c r="I34" i="1"/>
  <c r="I30" i="1"/>
  <c r="I26" i="1"/>
  <c r="I22" i="1"/>
  <c r="I18" i="1"/>
  <c r="I14" i="1"/>
  <c r="M9" i="1"/>
  <c r="M5" i="1"/>
  <c r="M53" i="1"/>
  <c r="M49" i="1"/>
  <c r="M45" i="1"/>
  <c r="M41" i="1"/>
  <c r="M37" i="1"/>
  <c r="M33" i="1"/>
  <c r="M29" i="1"/>
  <c r="M25" i="1"/>
  <c r="M21" i="1"/>
  <c r="M17" i="1"/>
  <c r="M13" i="1"/>
  <c r="U55" i="1"/>
  <c r="U53" i="1"/>
  <c r="U51" i="1"/>
  <c r="U49" i="1"/>
  <c r="U47" i="1"/>
  <c r="U45" i="1"/>
  <c r="U43" i="1"/>
  <c r="U41" i="1"/>
  <c r="U39" i="1"/>
  <c r="U37" i="1"/>
  <c r="U35" i="1"/>
  <c r="U33" i="1"/>
  <c r="U31" i="1"/>
  <c r="U29" i="1"/>
  <c r="U27" i="1"/>
  <c r="U25" i="1"/>
  <c r="U23" i="1"/>
  <c r="U21" i="1"/>
  <c r="U19" i="1"/>
  <c r="U17" i="1"/>
  <c r="U15" i="1"/>
  <c r="U13" i="1"/>
  <c r="U8" i="1"/>
  <c r="U6" i="1"/>
  <c r="U11" i="1"/>
  <c r="Q14" i="1"/>
  <c r="Q12" i="1"/>
  <c r="Q5" i="1"/>
  <c r="V11" i="1"/>
  <c r="W50" i="1"/>
  <c r="W51" i="1"/>
  <c r="W53" i="1"/>
  <c r="W54" i="1"/>
  <c r="W55" i="1"/>
  <c r="W56" i="1"/>
  <c r="X6" i="1"/>
  <c r="Y7" i="1"/>
  <c r="Y8" i="1"/>
  <c r="Y9" i="1"/>
  <c r="X5" i="1"/>
  <c r="W5" i="1"/>
  <c r="W7" i="1"/>
  <c r="X7" i="1"/>
  <c r="W8" i="1"/>
  <c r="X8" i="1"/>
  <c r="W9" i="1"/>
  <c r="X9" i="1"/>
  <c r="W10" i="1"/>
  <c r="X10" i="1"/>
  <c r="Y10" i="1"/>
  <c r="W20" i="1"/>
  <c r="X20" i="1"/>
  <c r="W21" i="1"/>
  <c r="X21" i="1"/>
  <c r="W22" i="1"/>
  <c r="X22" i="1"/>
  <c r="W23" i="1"/>
  <c r="X23" i="1"/>
  <c r="W24" i="1"/>
  <c r="X24" i="1"/>
  <c r="W25" i="1"/>
  <c r="X25" i="1"/>
  <c r="W26" i="1"/>
  <c r="X26" i="1"/>
  <c r="W27" i="1"/>
  <c r="X27" i="1"/>
  <c r="W28" i="1"/>
  <c r="X28" i="1"/>
  <c r="W29" i="1"/>
  <c r="X29" i="1"/>
  <c r="W30" i="1"/>
  <c r="X30" i="1"/>
  <c r="W31" i="1"/>
  <c r="X31" i="1"/>
  <c r="W32" i="1"/>
  <c r="X32" i="1"/>
  <c r="W33" i="1"/>
  <c r="X33" i="1"/>
  <c r="W34" i="1"/>
  <c r="X34" i="1"/>
  <c r="W35" i="1"/>
  <c r="X35" i="1"/>
  <c r="W36" i="1"/>
  <c r="X36" i="1"/>
  <c r="W37" i="1"/>
  <c r="X37" i="1"/>
  <c r="W38" i="1"/>
  <c r="X38" i="1"/>
  <c r="W39" i="1"/>
  <c r="X39" i="1"/>
  <c r="W40" i="1"/>
  <c r="X40" i="1"/>
  <c r="W41" i="1"/>
  <c r="X41" i="1"/>
  <c r="W42" i="1"/>
  <c r="X42" i="1"/>
  <c r="W43" i="1"/>
  <c r="X43" i="1"/>
  <c r="W44" i="1"/>
  <c r="X44" i="1"/>
  <c r="W45" i="1"/>
  <c r="X45" i="1"/>
  <c r="W46" i="1"/>
  <c r="X46" i="1"/>
  <c r="W47" i="1"/>
  <c r="X47" i="1"/>
  <c r="W48" i="1"/>
  <c r="X48" i="1"/>
  <c r="W49" i="1"/>
  <c r="X49" i="1"/>
  <c r="X50" i="1"/>
  <c r="X51" i="1"/>
  <c r="W52" i="1"/>
  <c r="X52" i="1"/>
  <c r="X53" i="1"/>
  <c r="X54" i="1"/>
  <c r="X55" i="1"/>
  <c r="X56" i="1"/>
  <c r="V6" i="1"/>
  <c r="V7" i="1"/>
  <c r="V8" i="1"/>
  <c r="V9" i="1"/>
  <c r="V10" i="1"/>
  <c r="V5" i="1"/>
  <c r="Y5" i="1" l="1"/>
  <c r="W6" i="1"/>
  <c r="V55" i="1" l="1"/>
  <c r="Y55" i="1"/>
  <c r="V54" i="1"/>
  <c r="Y54" i="1"/>
  <c r="Y53" i="1"/>
  <c r="V53" i="1"/>
  <c r="V56" i="1"/>
  <c r="Y56" i="1"/>
  <c r="V52" i="1"/>
  <c r="Y52" i="1"/>
  <c r="V48" i="1"/>
  <c r="Y48" i="1"/>
  <c r="V44" i="1"/>
  <c r="Y44" i="1"/>
  <c r="V40" i="1"/>
  <c r="Y40" i="1"/>
  <c r="Y36" i="1"/>
  <c r="V36" i="1"/>
  <c r="Y32" i="1"/>
  <c r="V32" i="1"/>
  <c r="Y28" i="1"/>
  <c r="V28" i="1"/>
  <c r="Y51" i="1"/>
  <c r="V51" i="1"/>
  <c r="Y47" i="1"/>
  <c r="V47" i="1"/>
  <c r="Y43" i="1"/>
  <c r="V43" i="1"/>
  <c r="Y39" i="1"/>
  <c r="V39" i="1"/>
  <c r="V35" i="1"/>
  <c r="Y35" i="1"/>
  <c r="Y31" i="1"/>
  <c r="V31" i="1"/>
  <c r="V27" i="1"/>
  <c r="Y27" i="1"/>
  <c r="V46" i="1"/>
  <c r="Y46" i="1"/>
  <c r="Y42" i="1"/>
  <c r="V42" i="1"/>
  <c r="Y38" i="1"/>
  <c r="V38" i="1"/>
  <c r="Y34" i="1"/>
  <c r="V34" i="1"/>
  <c r="Y30" i="1"/>
  <c r="V30" i="1"/>
  <c r="Y26" i="1"/>
  <c r="V26" i="1"/>
  <c r="V50" i="1"/>
  <c r="Y50" i="1"/>
  <c r="Y49" i="1"/>
  <c r="V49" i="1"/>
  <c r="Y45" i="1"/>
  <c r="V45" i="1"/>
  <c r="Y41" i="1"/>
  <c r="V41" i="1"/>
  <c r="Y37" i="1"/>
  <c r="V37" i="1"/>
  <c r="Y33" i="1"/>
  <c r="V33" i="1"/>
  <c r="Y29" i="1"/>
  <c r="V29" i="1"/>
  <c r="Y25" i="1"/>
  <c r="V25" i="1"/>
  <c r="Y20" i="1" l="1"/>
  <c r="V20" i="1"/>
  <c r="Y22" i="1"/>
  <c r="V22" i="1"/>
  <c r="V14" i="1"/>
  <c r="V13" i="1"/>
  <c r="Y21" i="1"/>
  <c r="V21" i="1"/>
  <c r="V17" i="1"/>
  <c r="V16" i="1"/>
  <c r="V19" i="1"/>
  <c r="V15" i="1"/>
  <c r="Y24" i="1"/>
  <c r="V24" i="1"/>
  <c r="V23" i="1"/>
  <c r="Y23" i="1"/>
  <c r="V18" i="1"/>
  <c r="V12" i="1"/>
</calcChain>
</file>

<file path=xl/sharedStrings.xml><?xml version="1.0" encoding="utf-8"?>
<sst xmlns="http://schemas.openxmlformats.org/spreadsheetml/2006/main" count="90" uniqueCount="72">
  <si>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</si>
  <si>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</si>
  <si>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</si>
  <si>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</si>
  <si>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</si>
  <si>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</si>
  <si>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</si>
  <si>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</si>
  <si>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</si>
  <si>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</si>
  <si>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</si>
  <si>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</si>
  <si>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D1</t>
  </si>
  <si>
    <t>D2</t>
  </si>
  <si>
    <t>D3</t>
  </si>
  <si>
    <t>D4</t>
  </si>
  <si>
    <t>D5</t>
  </si>
  <si>
    <t>KW01</t>
  </si>
  <si>
    <t>KW02</t>
  </si>
  <si>
    <t>KW03</t>
  </si>
  <si>
    <t>KW04</t>
  </si>
  <si>
    <t>KW05</t>
  </si>
  <si>
    <t>KW06</t>
  </si>
  <si>
    <t>KW07</t>
  </si>
  <si>
    <t>KW08</t>
  </si>
  <si>
    <t>KW09</t>
  </si>
  <si>
    <t>KW22</t>
  </si>
  <si>
    <t>KW23</t>
  </si>
  <si>
    <t>KW24</t>
  </si>
  <si>
    <t>KW25</t>
  </si>
  <si>
    <t>KW26</t>
  </si>
  <si>
    <t>KW27</t>
  </si>
  <si>
    <t>KW28</t>
  </si>
  <si>
    <t>KW29</t>
  </si>
  <si>
    <t>KW30</t>
  </si>
  <si>
    <t>KW31</t>
  </si>
  <si>
    <t>KW32</t>
  </si>
  <si>
    <t>KW33</t>
  </si>
  <si>
    <t>KW34</t>
  </si>
  <si>
    <t>KW35</t>
  </si>
  <si>
    <t>KW36</t>
  </si>
  <si>
    <t>KW37</t>
  </si>
  <si>
    <t>KW38</t>
  </si>
  <si>
    <t>KW39</t>
  </si>
  <si>
    <t>KW40</t>
  </si>
  <si>
    <t>KW41</t>
  </si>
  <si>
    <t>KW42</t>
  </si>
  <si>
    <t>KW43</t>
  </si>
  <si>
    <t>KW44</t>
  </si>
  <si>
    <t>KW45</t>
  </si>
  <si>
    <t>KW46</t>
  </si>
  <si>
    <t>KW47</t>
  </si>
  <si>
    <t>KW48</t>
  </si>
  <si>
    <t>KW49</t>
  </si>
  <si>
    <t>KW50</t>
  </si>
  <si>
    <t>KW51</t>
  </si>
  <si>
    <t>KW52</t>
  </si>
  <si>
    <t>KW53</t>
  </si>
  <si>
    <t>DPV Into Rattle test</t>
  </si>
  <si>
    <t>ABC</t>
  </si>
  <si>
    <t>Target</t>
  </si>
  <si>
    <t>Total</t>
  </si>
  <si>
    <t>Paint</t>
  </si>
  <si>
    <t>Av (Total)</t>
  </si>
  <si>
    <t>Av (Paint)</t>
  </si>
  <si>
    <t>Av (Car Locked)</t>
  </si>
  <si>
    <t>Av (Assembly)</t>
  </si>
  <si>
    <t>"Paint"</t>
  </si>
  <si>
    <t>"Paintshop"</t>
  </si>
  <si>
    <t>"Car Locked"</t>
  </si>
  <si>
    <t>"Assembly"</t>
  </si>
  <si>
    <t>X:\BY7xx Shared Management Information\5. BY731 Line_Subs_Final  2018\01 Mike Gaffney\Quality\DPV Into Rattle 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</si>
</sst>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Arial"/>
      <family val="2"/>
    </font>
    <font>
      <sz val="11"/>
      <color theme="0"/>
      <name val="Arial"/>
      <family val="2"/>
    </font>
    <font>
      <sz val="36"/>
      <color theme="1"/>
      <name val="Bentley Logo"/>
      <charset val="2"/>
    </font>
    <font>
      <sz val="24"/>
      <color theme="1"/>
      <name val="Arial"/>
      <family val="2"/>
    </font>
    <font>
      <sz val="28"/>
      <color theme="1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quotePrefix="1" applyFont="1"/>
    <xf numFmtId="0" fontId="0" fillId="2" borderId="0" xfId="0" applyFill="1"/>
    <xf numFmtId="0" fontId="0" fillId="0" borderId="0" xfId="0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1" xfId="0" quotePrefix="1" applyFont="1" applyBorder="1" applyAlignment="1">
      <alignment horizontal="center" vertical="center" wrapText="1"/>
    </xf>
    <xf numFmtId="0" fontId="5" fillId="0" borderId="2" xfId="0" quotePrefix="1" applyFont="1" applyBorder="1" applyAlignment="1">
      <alignment horizontal="center" vertical="center" wrapText="1"/>
    </xf>
    <xf numFmtId="0" fontId="5" fillId="0" borderId="3" xfId="0" quotePrefix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DATA!$W$3</c:f>
              <c:strCache>
                <c:ptCount val="1"/>
                <c:pt idx="0">
                  <c:v>Av (Paint)</c:v>
                </c:pt>
              </c:strCache>
            </c:strRef>
          </c:tx>
          <c:invertIfNegative val="0"/>
          <c:val>
            <c:numRef>
              <c:f>DATA!$W$5:$W$27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2"/>
          <c:order val="2"/>
          <c:tx>
            <c:strRef>
              <c:f>DATA!$X$3</c:f>
              <c:strCache>
                <c:ptCount val="1"/>
                <c:pt idx="0">
                  <c:v>Av (Car Locked)</c:v>
                </c:pt>
              </c:strCache>
            </c:strRef>
          </c:tx>
          <c:invertIfNegative val="0"/>
          <c:val>
            <c:numRef>
              <c:f>DATA!$X$5:$X$27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3"/>
          <c:order val="3"/>
          <c:tx>
            <c:strRef>
              <c:f>DATA!$Y$3</c:f>
              <c:strCache>
                <c:ptCount val="1"/>
                <c:pt idx="0">
                  <c:v>Av (Assembly)</c:v>
                </c:pt>
              </c:strCache>
            </c:strRef>
          </c:tx>
          <c:invertIfNegative val="0"/>
          <c:val>
            <c:numRef>
              <c:f>DATA!$Y$5:$Y$27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144704"/>
        <c:axId val="147146240"/>
      </c:barChart>
      <c:lineChart>
        <c:grouping val="standard"/>
        <c:varyColors val="0"/>
        <c:ser>
          <c:idx val="0"/>
          <c:order val="0"/>
          <c:tx>
            <c:strRef>
              <c:f>DATA!$V$3</c:f>
              <c:strCache>
                <c:ptCount val="1"/>
                <c:pt idx="0">
                  <c:v>Av (Total)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val>
            <c:numRef>
              <c:f>DATA!$V$5:$V$27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44704"/>
        <c:axId val="147146240"/>
      </c:lineChart>
      <c:lineChart>
        <c:grouping val="standard"/>
        <c:varyColors val="0"/>
        <c:ser>
          <c:idx val="4"/>
          <c:order val="4"/>
          <c:tx>
            <c:strRef>
              <c:f>DATA!$Z$3</c:f>
              <c:strCache>
                <c:ptCount val="1"/>
                <c:pt idx="0">
                  <c:v>Target</c:v>
                </c:pt>
              </c:strCache>
            </c:strRef>
          </c:tx>
          <c:marker>
            <c:symbol val="none"/>
          </c:marker>
          <c:val>
            <c:numRef>
              <c:f>DATA!$Z$5:$Z$27</c:f>
              <c:numCache>
                <c:formatCode>General</c:formatCode>
                <c:ptCount val="23"/>
                <c:pt idx="0">
                  <c:v>1.57</c:v>
                </c:pt>
                <c:pt idx="1">
                  <c:v>1.57</c:v>
                </c:pt>
                <c:pt idx="2">
                  <c:v>1.57</c:v>
                </c:pt>
                <c:pt idx="3">
                  <c:v>1.57</c:v>
                </c:pt>
                <c:pt idx="4">
                  <c:v>1.57</c:v>
                </c:pt>
                <c:pt idx="5">
                  <c:v>1.57</c:v>
                </c:pt>
                <c:pt idx="6">
                  <c:v>1.57</c:v>
                </c:pt>
                <c:pt idx="7">
                  <c:v>1.57</c:v>
                </c:pt>
                <c:pt idx="8">
                  <c:v>1.57</c:v>
                </c:pt>
                <c:pt idx="9">
                  <c:v>1.57</c:v>
                </c:pt>
                <c:pt idx="10">
                  <c:v>1.57</c:v>
                </c:pt>
                <c:pt idx="11">
                  <c:v>1.57</c:v>
                </c:pt>
                <c:pt idx="12">
                  <c:v>1.57</c:v>
                </c:pt>
                <c:pt idx="13">
                  <c:v>1.57</c:v>
                </c:pt>
                <c:pt idx="14">
                  <c:v>1.57</c:v>
                </c:pt>
                <c:pt idx="15">
                  <c:v>1.57</c:v>
                </c:pt>
                <c:pt idx="16">
                  <c:v>1.57</c:v>
                </c:pt>
                <c:pt idx="17">
                  <c:v>1.57</c:v>
                </c:pt>
                <c:pt idx="18">
                  <c:v>1.57</c:v>
                </c:pt>
                <c:pt idx="19">
                  <c:v>1.57</c:v>
                </c:pt>
                <c:pt idx="20">
                  <c:v>1.57</c:v>
                </c:pt>
                <c:pt idx="21">
                  <c:v>1.57</c:v>
                </c:pt>
                <c:pt idx="22">
                  <c:v>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61856"/>
        <c:axId val="147147776"/>
      </c:lineChart>
      <c:catAx>
        <c:axId val="14714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146240"/>
        <c:crosses val="autoZero"/>
        <c:auto val="1"/>
        <c:lblAlgn val="ctr"/>
        <c:lblOffset val="100"/>
        <c:noMultiLvlLbl val="0"/>
      </c:catAx>
      <c:valAx>
        <c:axId val="147146240"/>
        <c:scaling>
          <c:orientation val="minMax"/>
          <c:max val="1.900000000000000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144704"/>
        <c:crosses val="autoZero"/>
        <c:crossBetween val="between"/>
        <c:majorUnit val="0.2"/>
        <c:minorUnit val="4.0000000000000008E-2"/>
      </c:valAx>
      <c:valAx>
        <c:axId val="147147776"/>
        <c:scaling>
          <c:orientation val="minMax"/>
          <c:max val="1.9000000000000001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47161856"/>
        <c:crosses val="max"/>
        <c:crossBetween val="between"/>
        <c:majorUnit val="0.2"/>
        <c:minorUnit val="4.0000000000000008E-2"/>
      </c:valAx>
      <c:catAx>
        <c:axId val="14716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47147776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1340201417554E-2"/>
          <c:y val="1.6934953946207369E-2"/>
          <c:w val="0.89556488258350964"/>
          <c:h val="0.91379548586469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DATA!$B$3</c:f>
              <c:strCache>
                <c:ptCount val="1"/>
                <c:pt idx="0">
                  <c:v>D1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DATA!$A$4:$A$13</c:f>
              <c:strCache>
                <c:ptCount val="10"/>
                <c:pt idx="0">
                  <c:v>KW01</c:v>
                </c:pt>
                <c:pt idx="1">
                  <c:v>KW02</c:v>
                </c:pt>
                <c:pt idx="2">
                  <c:v>KW03</c:v>
                </c:pt>
                <c:pt idx="3">
                  <c:v>KW04</c:v>
                </c:pt>
                <c:pt idx="4">
                  <c:v>KW05</c:v>
                </c:pt>
                <c:pt idx="5">
                  <c:v>KW06</c:v>
                </c:pt>
                <c:pt idx="6">
                  <c:v>KW07</c:v>
                </c:pt>
                <c:pt idx="7">
                  <c:v>KW08</c:v>
                </c:pt>
                <c:pt idx="8">
                  <c:v>KW09</c:v>
                </c:pt>
                <c:pt idx="9">
                  <c:v>KW10</c:v>
                </c:pt>
              </c:strCache>
            </c:strRef>
          </c:cat>
          <c:val>
            <c:numRef>
              <c:f>DATA!$B$4:$B$13</c:f>
              <c:numCache>
                <c:formatCode>General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tx>
            <c:strRef>
              <c:f>DATA!$F$3</c:f>
              <c:strCache>
                <c:ptCount val="1"/>
                <c:pt idx="0">
                  <c:v>D2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DATA!$A$4:$A$13</c:f>
              <c:strCache>
                <c:ptCount val="10"/>
                <c:pt idx="0">
                  <c:v>KW01</c:v>
                </c:pt>
                <c:pt idx="1">
                  <c:v>KW02</c:v>
                </c:pt>
                <c:pt idx="2">
                  <c:v>KW03</c:v>
                </c:pt>
                <c:pt idx="3">
                  <c:v>KW04</c:v>
                </c:pt>
                <c:pt idx="4">
                  <c:v>KW05</c:v>
                </c:pt>
                <c:pt idx="5">
                  <c:v>KW06</c:v>
                </c:pt>
                <c:pt idx="6">
                  <c:v>KW07</c:v>
                </c:pt>
                <c:pt idx="7">
                  <c:v>KW08</c:v>
                </c:pt>
                <c:pt idx="8">
                  <c:v>KW09</c:v>
                </c:pt>
                <c:pt idx="9">
                  <c:v>KW10</c:v>
                </c:pt>
              </c:strCache>
            </c:strRef>
          </c:cat>
          <c:val>
            <c:numRef>
              <c:f>DATA!$F$4:$F$13</c:f>
              <c:numCache>
                <c:formatCode>General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2"/>
          <c:order val="2"/>
          <c:tx>
            <c:strRef>
              <c:f>DATA!$J$3</c:f>
              <c:strCache>
                <c:ptCount val="1"/>
                <c:pt idx="0">
                  <c:v>D3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DATA!$A$4:$A$13</c:f>
              <c:strCache>
                <c:ptCount val="10"/>
                <c:pt idx="0">
                  <c:v>KW01</c:v>
                </c:pt>
                <c:pt idx="1">
                  <c:v>KW02</c:v>
                </c:pt>
                <c:pt idx="2">
                  <c:v>KW03</c:v>
                </c:pt>
                <c:pt idx="3">
                  <c:v>KW04</c:v>
                </c:pt>
                <c:pt idx="4">
                  <c:v>KW05</c:v>
                </c:pt>
                <c:pt idx="5">
                  <c:v>KW06</c:v>
                </c:pt>
                <c:pt idx="6">
                  <c:v>KW07</c:v>
                </c:pt>
                <c:pt idx="7">
                  <c:v>KW08</c:v>
                </c:pt>
                <c:pt idx="8">
                  <c:v>KW09</c:v>
                </c:pt>
                <c:pt idx="9">
                  <c:v>KW10</c:v>
                </c:pt>
              </c:strCache>
            </c:strRef>
          </c:cat>
          <c:val>
            <c:numRef>
              <c:f>DATA!$J$4:$J$13</c:f>
              <c:numCache>
                <c:formatCode>General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3"/>
          <c:order val="3"/>
          <c:tx>
            <c:strRef>
              <c:f>DATA!$N$3</c:f>
              <c:strCache>
                <c:ptCount val="1"/>
                <c:pt idx="0">
                  <c:v>D4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DATA!$A$4:$A$13</c:f>
              <c:strCache>
                <c:ptCount val="10"/>
                <c:pt idx="0">
                  <c:v>KW01</c:v>
                </c:pt>
                <c:pt idx="1">
                  <c:v>KW02</c:v>
                </c:pt>
                <c:pt idx="2">
                  <c:v>KW03</c:v>
                </c:pt>
                <c:pt idx="3">
                  <c:v>KW04</c:v>
                </c:pt>
                <c:pt idx="4">
                  <c:v>KW05</c:v>
                </c:pt>
                <c:pt idx="5">
                  <c:v>KW06</c:v>
                </c:pt>
                <c:pt idx="6">
                  <c:v>KW07</c:v>
                </c:pt>
                <c:pt idx="7">
                  <c:v>KW08</c:v>
                </c:pt>
                <c:pt idx="8">
                  <c:v>KW09</c:v>
                </c:pt>
                <c:pt idx="9">
                  <c:v>KW10</c:v>
                </c:pt>
              </c:strCache>
            </c:strRef>
          </c:cat>
          <c:val>
            <c:numRef>
              <c:f>DATA!$N$4:$N$13</c:f>
              <c:numCache>
                <c:formatCode>General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4"/>
          <c:order val="4"/>
          <c:tx>
            <c:strRef>
              <c:f>DATA!$R$3</c:f>
              <c:strCache>
                <c:ptCount val="1"/>
                <c:pt idx="0">
                  <c:v>D5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DATA!$A$4:$A$13</c:f>
              <c:strCache>
                <c:ptCount val="10"/>
                <c:pt idx="0">
                  <c:v>KW01</c:v>
                </c:pt>
                <c:pt idx="1">
                  <c:v>KW02</c:v>
                </c:pt>
                <c:pt idx="2">
                  <c:v>KW03</c:v>
                </c:pt>
                <c:pt idx="3">
                  <c:v>KW04</c:v>
                </c:pt>
                <c:pt idx="4">
                  <c:v>KW05</c:v>
                </c:pt>
                <c:pt idx="5">
                  <c:v>KW06</c:v>
                </c:pt>
                <c:pt idx="6">
                  <c:v>KW07</c:v>
                </c:pt>
                <c:pt idx="7">
                  <c:v>KW08</c:v>
                </c:pt>
                <c:pt idx="8">
                  <c:v>KW09</c:v>
                </c:pt>
                <c:pt idx="9">
                  <c:v>KW10</c:v>
                </c:pt>
              </c:strCache>
            </c:strRef>
          </c:cat>
          <c:val>
            <c:numRef>
              <c:f>DATA!$R$4:$R$13</c:f>
              <c:numCache>
                <c:formatCode>General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245376"/>
        <c:axId val="150246912"/>
      </c:barChart>
      <c:catAx>
        <c:axId val="15024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0246912"/>
        <c:crosses val="autoZero"/>
        <c:auto val="1"/>
        <c:lblAlgn val="ctr"/>
        <c:lblOffset val="100"/>
        <c:noMultiLvlLbl val="0"/>
      </c:catAx>
      <c:valAx>
        <c:axId val="150246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245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60960</xdr:rowOff>
    </xdr:from>
    <xdr:to>
      <xdr:col>12</xdr:col>
      <xdr:colOff>640080</xdr:colOff>
      <xdr:row>31</xdr:row>
      <xdr:rowOff>10885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76201</xdr:rowOff>
    </xdr:from>
    <xdr:to>
      <xdr:col>12</xdr:col>
      <xdr:colOff>640080</xdr:colOff>
      <xdr:row>30</xdr:row>
      <xdr:rowOff>163287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26335</xdr:colOff>
      <xdr:row>0</xdr:row>
      <xdr:rowOff>9525</xdr:rowOff>
    </xdr:from>
    <xdr:to>
      <xdr:col>0</xdr:col>
      <xdr:colOff>700369</xdr:colOff>
      <xdr:row>0</xdr:row>
      <xdr:rowOff>179294</xdr:rowOff>
    </xdr:to>
    <xdr:sp macro="[0]!Macro2" textlink="">
      <xdr:nvSpPr>
        <xdr:cNvPr id="2" name="Rounded Rectangle 1"/>
        <xdr:cNvSpPr/>
      </xdr:nvSpPr>
      <xdr:spPr>
        <a:xfrm>
          <a:off x="26335" y="9525"/>
          <a:ext cx="674034" cy="169769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effectLst/>
            </a:rPr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zoomScale="85" zoomScaleNormal="85" workbookViewId="0">
      <selection activeCell="O26" sqref="O26"/>
    </sheetView>
  </sheetViews>
  <sheetFormatPr defaultRowHeight="14.25" x14ac:dyDescent="0.2"/>
  <sheetData>
    <row r="1" spans="1:13" ht="55.15" customHeight="1" x14ac:dyDescent="0.25">
      <c r="A1" s="12" t="s">
        <v>58</v>
      </c>
      <c r="B1" s="12"/>
      <c r="C1" s="12"/>
      <c r="D1" s="12"/>
      <c r="E1" s="12"/>
      <c r="F1" s="12"/>
      <c r="G1" s="12"/>
      <c r="H1" s="12"/>
      <c r="I1" s="12"/>
      <c r="J1" s="12"/>
      <c r="K1" s="13" t="s">
        <v>59</v>
      </c>
      <c r="L1" s="13"/>
      <c r="M1" s="13"/>
    </row>
    <row r="2" spans="1:13" ht="4.150000000000000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19" ht="13.9" x14ac:dyDescent="0.25"/>
    <row r="22" ht="13.9" x14ac:dyDescent="0.25"/>
    <row r="23" ht="13.9" x14ac:dyDescent="0.25"/>
    <row r="24" ht="13.9" x14ac:dyDescent="0.25"/>
  </sheetData>
  <mergeCells count="2">
    <mergeCell ref="A1:J1"/>
    <mergeCell ref="K1:M1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"/>
  <sheetViews>
    <sheetView zoomScale="70" zoomScaleNormal="70" workbookViewId="0">
      <selection activeCell="G43" sqref="G43"/>
    </sheetView>
  </sheetViews>
  <sheetFormatPr defaultRowHeight="14.25" x14ac:dyDescent="0.2"/>
  <sheetData>
    <row r="1" spans="1:13" ht="64.150000000000006" customHeight="1" x14ac:dyDescent="0.25">
      <c r="A1" s="14" t="s">
        <v>58</v>
      </c>
      <c r="B1" s="14"/>
      <c r="C1" s="14"/>
      <c r="D1" s="14"/>
      <c r="E1" s="14"/>
      <c r="F1" s="14"/>
      <c r="G1" s="14"/>
      <c r="H1" s="14"/>
      <c r="I1" s="14"/>
      <c r="J1" s="14"/>
      <c r="K1" s="13" t="s">
        <v>59</v>
      </c>
      <c r="L1" s="13"/>
      <c r="M1" s="13"/>
    </row>
    <row r="2" spans="1:13" ht="4.150000000000000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mergeCells count="2">
    <mergeCell ref="A1:J1"/>
    <mergeCell ref="K1:M1"/>
  </mergeCells>
  <pageMargins left="0.7" right="0.7" top="0.75" bottom="0.75" header="0.3" footer="0.3"/>
  <pageSetup paperSize="9" orientation="landscape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6"/>
  <sheetViews>
    <sheetView tabSelected="1" zoomScale="85" zoomScaleNormal="85" workbookViewId="0">
      <selection activeCell="C8" sqref="C8"/>
    </sheetView>
  </sheetViews>
  <sheetFormatPr defaultRowHeight="14.25" x14ac:dyDescent="0.2"/>
  <cols>
    <col min="1" max="1" width="9.625" customWidth="1"/>
    <col min="2" max="21" width="10" customWidth="1"/>
    <col min="22" max="25" width="9.75" customWidth="1"/>
    <col min="26" max="26" width="9.75" style="3" customWidth="1"/>
  </cols>
  <sheetData>
    <row r="1" spans="1:26" ht="15" thickBot="1" x14ac:dyDescent="0.25">
      <c r="B1" s="1" t="s">
        <v>71</v>
      </c>
      <c r="C1" s="1" t="s">
        <v>68</v>
      </c>
      <c r="D1" s="1" t="s">
        <v>67</v>
      </c>
      <c r="E1" s="1"/>
    </row>
    <row r="2" spans="1:26" s="4" customFormat="1" ht="28.5" customHeight="1" x14ac:dyDescent="0.2">
      <c r="B2" s="15" t="s">
        <v>61</v>
      </c>
      <c r="C2" s="16" t="s">
        <v>62</v>
      </c>
      <c r="D2" s="16" t="s">
        <v>69</v>
      </c>
      <c r="E2" s="17" t="s">
        <v>70</v>
      </c>
      <c r="F2" s="15" t="s">
        <v>61</v>
      </c>
      <c r="G2" s="16" t="s">
        <v>62</v>
      </c>
      <c r="H2" s="16" t="s">
        <v>69</v>
      </c>
      <c r="I2" s="17" t="s">
        <v>70</v>
      </c>
      <c r="J2" s="15" t="s">
        <v>61</v>
      </c>
      <c r="K2" s="16" t="s">
        <v>62</v>
      </c>
      <c r="L2" s="16" t="s">
        <v>69</v>
      </c>
      <c r="M2" s="17" t="s">
        <v>70</v>
      </c>
      <c r="N2" s="15" t="s">
        <v>61</v>
      </c>
      <c r="O2" s="16" t="s">
        <v>62</v>
      </c>
      <c r="P2" s="16" t="s">
        <v>69</v>
      </c>
      <c r="Q2" s="17" t="s">
        <v>70</v>
      </c>
      <c r="R2" s="15" t="s">
        <v>61</v>
      </c>
      <c r="S2" s="16" t="s">
        <v>62</v>
      </c>
      <c r="T2" s="16" t="s">
        <v>69</v>
      </c>
      <c r="U2" s="17" t="s">
        <v>70</v>
      </c>
      <c r="Z2" s="5"/>
    </row>
    <row r="3" spans="1:26" x14ac:dyDescent="0.2">
      <c r="B3" s="6" t="s">
        <v>12</v>
      </c>
      <c r="C3" s="7"/>
      <c r="D3" s="7"/>
      <c r="E3" s="8"/>
      <c r="F3" s="6" t="s">
        <v>13</v>
      </c>
      <c r="G3" s="7"/>
      <c r="H3" s="7"/>
      <c r="I3" s="8"/>
      <c r="J3" s="6" t="s">
        <v>14</v>
      </c>
      <c r="K3" s="7"/>
      <c r="L3" s="7"/>
      <c r="M3" s="8"/>
      <c r="N3" s="6" t="s">
        <v>15</v>
      </c>
      <c r="O3" s="7"/>
      <c r="P3" s="7"/>
      <c r="Q3" s="8"/>
      <c r="R3" s="6" t="s">
        <v>16</v>
      </c>
      <c r="S3" s="7"/>
      <c r="T3" s="7"/>
      <c r="U3" s="8"/>
      <c r="V3" t="s">
        <v>63</v>
      </c>
      <c r="W3" t="s">
        <v>64</v>
      </c>
      <c r="X3" t="s">
        <v>65</v>
      </c>
      <c r="Y3" t="s">
        <v>66</v>
      </c>
      <c r="Z3" s="3" t="s">
        <v>60</v>
      </c>
    </row>
    <row r="4" spans="1:26" x14ac:dyDescent="0.2">
      <c r="A4" t="s">
        <v>17</v>
      </c>
      <c r="B4" s="6"/>
      <c r="C4" s="7"/>
      <c r="D4" s="7"/>
      <c r="E4" s="8"/>
      <c r="F4" s="6"/>
      <c r="G4" s="7"/>
      <c r="H4" s="7"/>
      <c r="I4" s="8"/>
      <c r="J4" s="6"/>
      <c r="K4" s="7"/>
      <c r="L4" s="7"/>
      <c r="M4" s="8"/>
      <c r="N4" s="6"/>
      <c r="O4" s="7"/>
      <c r="P4" s="7"/>
      <c r="Q4" s="8"/>
      <c r="R4" s="6"/>
      <c r="S4" s="7"/>
      <c r="T4" s="7"/>
      <c r="U4" s="8"/>
      <c r="V4" t="e">
        <f>AVERAGE(B4,F4,J4,N4,R4)</f>
        <v>#DIV/0!</v>
      </c>
      <c r="W4" t="e">
        <f>AVERAGE(C4,G4,K4,O4,S4)</f>
        <v>#DIV/0!</v>
      </c>
      <c r="X4" t="e">
        <f t="shared" ref="X4" si="0">AVERAGE(D4,H4,L4,P4,T4)</f>
        <v>#DIV/0!</v>
      </c>
      <c r="Y4" t="e">
        <f t="shared" ref="Y4" si="1">AVERAGE(E4,I4,M4,Q4,U4)</f>
        <v>#DIV/0!</v>
      </c>
      <c r="Z4" s="3">
        <v>1.57</v>
      </c>
    </row>
    <row r="5" spans="1:26" x14ac:dyDescent="0.2">
      <c r="A5" t="s">
        <v>18</v>
      </c>
      <c r="B5" s="6" t="str">
        <f t="shared" ref="B5:B10" si="2">CONCATENATE("='",$B$1&amp;"\"&amp;$A5&amp;"\["&amp;"Open Defects into Rattle Test Daily "&amp;$A5&amp;B$3&amp;".xlsx]BY73X - Assembly (PM)'!$C$6")</f>
        <v>='X:\BY7xx Shared Management Information\5. BY731 Line_Subs_Final  2018\01 Mike Gaffney\Quality\DPV Into Rattle Road\KW02\[Open Defects into Rattle Test Daily KW02D1.xlsx]BY73X - Assembly (PM)'!$C$6</v>
      </c>
      <c r="C5" s="7" t="str">
        <f t="shared" ref="C5:C10" si="3">CONCATENATE("=(SUMPRODUCT(('",$B$1&amp;"\"&amp;$A5&amp;"\["&amp;"Open Defects into Rattle Test Daily "&amp;$A5&amp;B$3&amp;".xlsx]BY73X - Assembly (PM)'!$I:$I="&amp;$C$1&amp;")+0)+SUMPRODUCT(('",$B$1&amp;"\"&amp;$A5&amp;"\["&amp;"Open Defects into Rattle Test Daily "&amp;$A5&amp;B$3&amp;".xlsx]BY73X - Assembly (PM)'!$I:$I="&amp;$D$1&amp;")+0))/'",$B$1&amp;"\"&amp;$A5&amp;"\["&amp;"Open Defects into Rattle Test Daily "&amp;$A5&amp;B$3&amp;".xlsx]BY73X - Assembly (PM)'!$C$4")</f>
        <v>=(SUMPRODUCT(('X:\BY7xx Shared Management Information\5. BY731 Line_Subs_Final  2018\01 Mike Gaffney\Quality\DPV Into Rattle Road\KW02\[Open Defects into Rattle Test Daily KW02D1.xlsx]BY73X - Assembly (PM)'!$I:$I="Paintshop")+0)+SUMPRODUCT(('X:\BY7xx Shared Management Information\5. BY731 Line_Subs_Final  2018\01 Mike Gaffney\Quality\DPV Into Rattle Road\KW02\[Open Defects into Rattle Test Daily KW02D1.xlsx]BY73X - Assembly (PM)'!$I:$I="Paint")+0))/'X:\BY7xx Shared Management Information\5. BY731 Line_Subs_Final  2018\01 Mike Gaffney\Quality\DPV Into Rattle Road\KW02\[Open Defects into Rattle Test Daily KW02D1.xlsx]BY73X - Assembly (PM)'!$C$4</v>
      </c>
      <c r="D5" s="7" t="str">
        <f t="shared" ref="D5:D10" si="4">CONCATENATE("=(SUMPRODUCT(('",$B$1&amp;"\"&amp;$A5&amp;"\["&amp;"Open Defects into Rattle Test Daily "&amp;$A5&amp;B$3&amp;".xlsx]BY73X - Assembly (PM)'!$I:$I="&amp;D$2&amp;")+0))/'",$B$1&amp;"\"&amp;$A5&amp;"\["&amp;"Open Defects into Rattle Test Daily "&amp;$A5&amp;B$3&amp;".xlsx]BY73X - Assembly (PM)'!$C$4")</f>
        <v>=(SUMPRODUCT(('X:\BY7xx Shared Management Information\5. BY731 Line_Subs_Final  2018\01 Mike Gaffney\Quality\DPV Into Rattle Road\KW02\[Open Defects into Rattle Test Daily KW02D1.xlsx]BY73X - Assembly (PM)'!$I:$I="Car Locked")+0))/'X:\BY7xx Shared Management Information\5. BY731 Line_Subs_Final  2018\01 Mike Gaffney\Quality\DPV Into Rattle Road\KW02\[Open Defects into Rattle Test Daily KW02D1.xlsx]BY73X - Assembly (PM)'!$C$4</v>
      </c>
      <c r="E5" s="8" t="e">
        <f>B5-C5-D5</f>
        <v>#VALUE!</v>
      </c>
      <c r="F5" s="6" t="str">
        <f t="shared" ref="F5:F10" si="5">CONCATENATE("='",$B$1&amp;"\"&amp;$A5&amp;"\["&amp;"Open Defects into Rattle Test Daily "&amp;$A5&amp;F$3&amp;".xlsx]BY73X - Assembly (PM)'!$C$6")</f>
        <v>='X:\BY7xx Shared Management Information\5. BY731 Line_Subs_Final  2018\01 Mike Gaffney\Quality\DPV Into Rattle Road\KW02\[Open Defects into Rattle Test Daily KW02D2.xlsx]BY73X - Assembly (PM)'!$C$6</v>
      </c>
      <c r="G5" s="7" t="str">
        <f t="shared" ref="G5:G10" si="6">CONCATENATE("=(SUMPRODUCT(('",$B$1&amp;"\"&amp;$A5&amp;"\["&amp;"Open Defects into Rattle Test Daily "&amp;$A5&amp;F$3&amp;".xlsx]BY73X - Assembly (PM)'!$I:$I="&amp;$C$1&amp;")+0)+SUMPRODUCT(('",$B$1&amp;"\"&amp;$A5&amp;"\["&amp;"Open Defects into Rattle Test Daily "&amp;$A5&amp;F$3&amp;".xlsx]BY73X - Assembly (PM)'!$I:$I="&amp;$D$1&amp;")+0))/'",$B$1&amp;"\"&amp;$A5&amp;"\["&amp;"Open Defects into Rattle Test Daily "&amp;$A5&amp;F$3&amp;".xlsx]BY73X - Assembly (PM)'!$C$4")</f>
        <v>=(SUMPRODUCT(('X:\BY7xx Shared Management Information\5. BY731 Line_Subs_Final  2018\01 Mike Gaffney\Quality\DPV Into Rattle Road\KW02\[Open Defects into Rattle Test Daily KW02D2.xlsx]BY73X - Assembly (PM)'!$I:$I="Paintshop")+0)+SUMPRODUCT(('X:\BY7xx Shared Management Information\5. BY731 Line_Subs_Final  2018\01 Mike Gaffney\Quality\DPV Into Rattle Road\KW02\[Open Defects into Rattle Test Daily KW02D2.xlsx]BY73X - Assembly (PM)'!$I:$I="Paint")+0))/'X:\BY7xx Shared Management Information\5. BY731 Line_Subs_Final  2018\01 Mike Gaffney\Quality\DPV Into Rattle Road\KW02\[Open Defects into Rattle Test Daily KW02D2.xlsx]BY73X - Assembly (PM)'!$C$4</v>
      </c>
      <c r="H5" s="7" t="str">
        <f t="shared" ref="H5:H10" si="7">CONCATENATE("=(SUMPRODUCT(('",$B$1&amp;"\"&amp;$A5&amp;"\["&amp;"Open Defects into Rattle Test Daily "&amp;$A5&amp;F$3&amp;".xlsx]BY73X - Assembly (PM)'!$I:$I="&amp;H$2&amp;")+0))/'",$B$1&amp;"\"&amp;$A5&amp;"\["&amp;"Open Defects into Rattle Test Daily "&amp;$A5&amp;F$3&amp;".xlsx]BY73X - Assembly (PM)'!$C$4")</f>
        <v>=(SUMPRODUCT(('X:\BY7xx Shared Management Information\5. BY731 Line_Subs_Final  2018\01 Mike Gaffney\Quality\DPV Into Rattle Road\KW02\[Open Defects into Rattle Test Daily KW02D2.xlsx]BY73X - Assembly (PM)'!$I:$I="Car Locked")+0))/'X:\BY7xx Shared Management Information\5. BY731 Line_Subs_Final  2018\01 Mike Gaffney\Quality\DPV Into Rattle Road\KW02\[Open Defects into Rattle Test Daily KW02D2.xlsx]BY73X - Assembly (PM)'!$C$4</v>
      </c>
      <c r="I5" s="8" t="e">
        <f>F5-G5-H5</f>
        <v>#VALUE!</v>
      </c>
      <c r="J5" s="6" t="str">
        <f t="shared" ref="J5:J10" si="8">CONCATENATE("='",$B$1&amp;"\"&amp;$A5&amp;"\["&amp;"Open Defects into Rattle Test Daily "&amp;$A5&amp;J$3&amp;".xlsx]BY73X - Assembly (PM)'!$C$6")</f>
        <v>='X:\BY7xx Shared Management Information\5. BY731 Line_Subs_Final  2018\01 Mike Gaffney\Quality\DPV Into Rattle Road\KW02\[Open Defects into Rattle Test Daily KW02D3.xlsx]BY73X - Assembly (PM)'!$C$6</v>
      </c>
      <c r="K5" s="7" t="str">
        <f t="shared" ref="K5:K10" si="9">CONCATENATE("=(SUMPRODUCT(('",$B$1&amp;"\"&amp;$A5&amp;"\["&amp;"Open Defects into Rattle Test Daily "&amp;$A5&amp;J$3&amp;".xlsx]BY73X - Assembly (PM)'!$I:$I="&amp;$C$1&amp;")+0)+SUMPRODUCT(('",$B$1&amp;"\"&amp;$A5&amp;"\["&amp;"Open Defects into Rattle Test Daily "&amp;$A5&amp;J$3&amp;".xlsx]BY73X - Assembly (PM)'!$I:$I="&amp;$D$1&amp;")+0))/'",$B$1&amp;"\"&amp;$A5&amp;"\["&amp;"Open Defects into Rattle Test Daily "&amp;$A5&amp;J$3&amp;".xlsx]BY73X - Assembly (PM)'!$C$4")</f>
        <v>=(SUMPRODUCT(('X:\BY7xx Shared Management Information\5. BY731 Line_Subs_Final  2018\01 Mike Gaffney\Quality\DPV Into Rattle Road\KW02\[Open Defects into Rattle Test Daily KW02D3.xlsx]BY73X - Assembly (PM)'!$I:$I="Paintshop")+0)+SUMPRODUCT(('X:\BY7xx Shared Management Information\5. BY731 Line_Subs_Final  2018\01 Mike Gaffney\Quality\DPV Into Rattle Road\KW02\[Open Defects into Rattle Test Daily KW02D3.xlsx]BY73X - Assembly (PM)'!$I:$I="Paint")+0))/'X:\BY7xx Shared Management Information\5. BY731 Line_Subs_Final  2018\01 Mike Gaffney\Quality\DPV Into Rattle Road\KW02\[Open Defects into Rattle Test Daily KW02D3.xlsx]BY73X - Assembly (PM)'!$C$4</v>
      </c>
      <c r="L5" s="7" t="str">
        <f t="shared" ref="L5:L10" si="10">CONCATENATE("=(SUMPRODUCT(('",$B$1&amp;"\"&amp;$A5&amp;"\["&amp;"Open Defects into Rattle Test Daily "&amp;$A5&amp;J$3&amp;".xlsx]BY73X - Assembly (PM)'!$I:$I="&amp;L$2&amp;")+0))/'",$B$1&amp;"\"&amp;$A5&amp;"\["&amp;"Open Defects into Rattle Test Daily "&amp;$A5&amp;J$3&amp;".xlsx]BY73X - Assembly (PM)'!$C$4")</f>
        <v>=(SUMPRODUCT(('X:\BY7xx Shared Management Information\5. BY731 Line_Subs_Final  2018\01 Mike Gaffney\Quality\DPV Into Rattle Road\KW02\[Open Defects into Rattle Test Daily KW02D3.xlsx]BY73X - Assembly (PM)'!$I:$I="Car Locked")+0))/'X:\BY7xx Shared Management Information\5. BY731 Line_Subs_Final  2018\01 Mike Gaffney\Quality\DPV Into Rattle Road\KW02\[Open Defects into Rattle Test Daily KW02D3.xlsx]BY73X - Assembly (PM)'!$C$4</v>
      </c>
      <c r="M5" s="8" t="e">
        <f>J5-K5-L5</f>
        <v>#VALUE!</v>
      </c>
      <c r="N5" s="6" t="str">
        <f t="shared" ref="N5:R10" si="11">CONCATENATE("='",$B$1&amp;"\"&amp;$A5&amp;"\["&amp;"Open Defects into Rattle Test Daily "&amp;$A5&amp;N$3&amp;".xlsx]BY73X - Assembly (PM)'!$C$6")</f>
        <v>='X:\BY7xx Shared Management Information\5. BY731 Line_Subs_Final  2018\01 Mike Gaffney\Quality\DPV Into Rattle Road\KW02\[Open Defects into Rattle Test Daily KW02D4.xlsx]BY73X - Assembly (PM)'!$C$6</v>
      </c>
      <c r="O5" s="7" t="str">
        <f t="shared" ref="O5:O10" si="12">CONCATENATE("=(SUMPRODUCT(('",$B$1&amp;"\"&amp;$A5&amp;"\["&amp;"Open Defects into Rattle Test Daily "&amp;$A5&amp;N$3&amp;".xlsx]BY73X - Assembly (PM)'!$I:$I="&amp;$C$1&amp;")+0)+SUMPRODUCT(('",$B$1&amp;"\"&amp;$A5&amp;"\["&amp;"Open Defects into Rattle Test Daily "&amp;$A5&amp;N$3&amp;".xlsx]BY73X - Assembly (PM)'!$I:$I="&amp;$D$1&amp;")+0))/'",$B$1&amp;"\"&amp;$A5&amp;"\["&amp;"Open Defects into Rattle Test Daily "&amp;$A5&amp;N$3&amp;".xlsx]BY73X - Assembly (PM)'!$C$4")</f>
        <v>=(SUMPRODUCT(('X:\BY7xx Shared Management Information\5. BY731 Line_Subs_Final  2018\01 Mike Gaffney\Quality\DPV Into Rattle Road\KW02\[Open Defects into Rattle Test Daily KW02D4.xlsx]BY73X - Assembly (PM)'!$I:$I="Paintshop")+0)+SUMPRODUCT(('X:\BY7xx Shared Management Information\5. BY731 Line_Subs_Final  2018\01 Mike Gaffney\Quality\DPV Into Rattle Road\KW02\[Open Defects into Rattle Test Daily KW02D4.xlsx]BY73X - Assembly (PM)'!$I:$I="Paint")+0))/'X:\BY7xx Shared Management Information\5. BY731 Line_Subs_Final  2018\01 Mike Gaffney\Quality\DPV Into Rattle Road\KW02\[Open Defects into Rattle Test Daily KW02D4.xlsx]BY73X - Assembly (PM)'!$C$4</v>
      </c>
      <c r="P5" s="7" t="str">
        <f t="shared" ref="P5:P10" si="13">CONCATENATE("=(SUMPRODUCT(('",$B$1&amp;"\"&amp;$A5&amp;"\["&amp;"Open Defects into Rattle Test Daily "&amp;$A5&amp;N$3&amp;".xlsx]BY73X - Assembly (PM)'!$I:$I="&amp;P$2&amp;")+0))/'",$B$1&amp;"\"&amp;$A5&amp;"\["&amp;"Open Defects into Rattle Test Daily "&amp;$A5&amp;N$3&amp;".xlsx]BY73X - Assembly (PM)'!$C$4")</f>
        <v>=(SUMPRODUCT(('X:\BY7xx Shared Management Information\5. BY731 Line_Subs_Final  2018\01 Mike Gaffney\Quality\DPV Into Rattle Road\KW02\[Open Defects into Rattle Test Daily KW02D4.xlsx]BY73X - Assembly (PM)'!$I:$I="Car Locked")+0))/'X:\BY7xx Shared Management Information\5. BY731 Line_Subs_Final  2018\01 Mike Gaffney\Quality\DPV Into Rattle Road\KW02\[Open Defects into Rattle Test Daily KW02D4.xlsx]BY73X - Assembly (PM)'!$C$4</v>
      </c>
      <c r="Q5" s="8" t="e">
        <f>N5-O5-P5</f>
        <v>#VALUE!</v>
      </c>
      <c r="R5" s="6" t="str">
        <f t="shared" si="11"/>
        <v>='X:\BY7xx Shared Management Information\5. BY731 Line_Subs_Final  2018\01 Mike Gaffney\Quality\DPV Into Rattle Road\KW02\[Open Defects into Rattle Test Daily KW02D5.xlsx]BY73X - Assembly (PM)'!$C$6</v>
      </c>
      <c r="S5" s="7" t="str">
        <f t="shared" ref="S5:S10" si="14">CONCATENATE("=(SUMPRODUCT(('",$B$1&amp;"\"&amp;$A5&amp;"\["&amp;"Open Defects into Rattle Test Daily "&amp;$A5&amp;R$3&amp;".xlsx]BY73X - Assembly (PM)'!$I:$I="&amp;$C$1&amp;")+0)+SUMPRODUCT(('",$B$1&amp;"\"&amp;$A5&amp;"\["&amp;"Open Defects into Rattle Test Daily "&amp;$A5&amp;R$3&amp;".xlsx]BY73X - Assembly (PM)'!$I:$I="&amp;$D$1&amp;")+0))/'",$B$1&amp;"\"&amp;$A5&amp;"\["&amp;"Open Defects into Rattle Test Daily "&amp;$A5&amp;R$3&amp;".xlsx]BY73X - Assembly (PM)'!$C$4")</f>
        <v>=(SUMPRODUCT(('X:\BY7xx Shared Management Information\5. BY731 Line_Subs_Final  2018\01 Mike Gaffney\Quality\DPV Into Rattle Road\KW02\[Open Defects into Rattle Test Daily KW02D5.xlsx]BY73X - Assembly (PM)'!$I:$I="Paintshop")+0)+SUMPRODUCT(('X:\BY7xx Shared Management Information\5. BY731 Line_Subs_Final  2018\01 Mike Gaffney\Quality\DPV Into Rattle Road\KW02\[Open Defects into Rattle Test Daily KW02D5.xlsx]BY73X - Assembly (PM)'!$I:$I="Paint")+0))/'X:\BY7xx Shared Management Information\5. BY731 Line_Subs_Final  2018\01 Mike Gaffney\Quality\DPV Into Rattle Road\KW02\[Open Defects into Rattle Test Daily KW02D5.xlsx]BY73X - Assembly (PM)'!$C$4</v>
      </c>
      <c r="T5" s="7" t="str">
        <f t="shared" ref="T5:T10" si="15">CONCATENATE("=(SUMPRODUCT(('",$B$1&amp;"\"&amp;$A5&amp;"\["&amp;"Open Defects into Rattle Test Daily "&amp;$A5&amp;R$3&amp;".xlsx]BY73X - Assembly (PM)'!$I:$I="&amp;T$2&amp;")+0))/'",$B$1&amp;"\"&amp;$A5&amp;"\["&amp;"Open Defects into Rattle Test Daily "&amp;$A5&amp;R$3&amp;".xlsx]BY73X - Assembly (PM)'!$C$4")</f>
        <v>=(SUMPRODUCT(('X:\BY7xx Shared Management Information\5. BY731 Line_Subs_Final  2018\01 Mike Gaffney\Quality\DPV Into Rattle Road\KW02\[Open Defects into Rattle Test Daily KW02D5.xlsx]BY73X - Assembly (PM)'!$I:$I="Car Locked")+0))/'X:\BY7xx Shared Management Information\5. BY731 Line_Subs_Final  2018\01 Mike Gaffney\Quality\DPV Into Rattle Road\KW02\[Open Defects into Rattle Test Daily KW02D5.xlsx]BY73X - Assembly (PM)'!$C$4</v>
      </c>
      <c r="U5" s="8" t="e">
        <f>R5-S5-T5</f>
        <v>#VALUE!</v>
      </c>
      <c r="V5" t="e">
        <f>AVERAGE(B5,F5,J5,N5,R5)</f>
        <v>#DIV/0!</v>
      </c>
      <c r="W5" t="e">
        <f>AVERAGE(C5,G5,K5,O5,S5)</f>
        <v>#DIV/0!</v>
      </c>
      <c r="X5" t="e">
        <f t="shared" ref="X5:Y5" si="16">AVERAGE(D5,H5,L5,P5,T5)</f>
        <v>#DIV/0!</v>
      </c>
      <c r="Y5" t="e">
        <f t="shared" si="16"/>
        <v>#VALUE!</v>
      </c>
      <c r="Z5" s="3">
        <v>1.57</v>
      </c>
    </row>
    <row r="6" spans="1:26" x14ac:dyDescent="0.2">
      <c r="A6" t="s">
        <v>19</v>
      </c>
      <c r="B6" s="6" t="str">
        <f t="shared" si="2"/>
        <v>='X:\BY7xx Shared Management Information\5. BY731 Line_Subs_Final  2018\01 Mike Gaffney\Quality\DPV Into Rattle Road\KW03\[Open Defects into Rattle Test Daily KW03D1.xlsx]BY73X - Assembly (PM)'!$C$6</v>
      </c>
      <c r="C6" s="7" t="str">
        <f t="shared" si="3"/>
        <v>=(SUMPRODUCT(('X:\BY7xx Shared Management Information\5. BY731 Line_Subs_Final  2018\01 Mike Gaffney\Quality\DPV Into Rattle Road\KW03\[Open Defects into Rattle Test Daily KW03D1.xlsx]BY73X - Assembly (PM)'!$I:$I="Paintshop")+0)+SUMPRODUCT(('X:\BY7xx Shared Management Information\5. BY731 Line_Subs_Final  2018\01 Mike Gaffney\Quality\DPV Into Rattle Road\KW03\[Open Defects into Rattle Test Daily KW03D1.xlsx]BY73X - Assembly (PM)'!$I:$I="Paint")+0))/'X:\BY7xx Shared Management Information\5. BY731 Line_Subs_Final  2018\01 Mike Gaffney\Quality\DPV Into Rattle Road\KW03\[Open Defects into Rattle Test Daily KW03D1.xlsx]BY73X - Assembly (PM)'!$C$4</v>
      </c>
      <c r="D6" s="7" t="str">
        <f t="shared" si="4"/>
        <v>=(SUMPRODUCT(('X:\BY7xx Shared Management Information\5. BY731 Line_Subs_Final  2018\01 Mike Gaffney\Quality\DPV Into Rattle Road\KW03\[Open Defects into Rattle Test Daily KW03D1.xlsx]BY73X - Assembly (PM)'!$I:$I="Car Locked")+0))/'X:\BY7xx Shared Management Information\5. BY731 Line_Subs_Final  2018\01 Mike Gaffney\Quality\DPV Into Rattle Road\KW03\[Open Defects into Rattle Test Daily KW03D1.xlsx]BY73X - Assembly (PM)'!$C$4</v>
      </c>
      <c r="E6" s="8" t="e">
        <f t="shared" ref="E6:E56" si="17">B6-C6-D6</f>
        <v>#VALUE!</v>
      </c>
      <c r="F6" s="6" t="str">
        <f t="shared" si="5"/>
        <v>='X:\BY7xx Shared Management Information\5. BY731 Line_Subs_Final  2018\01 Mike Gaffney\Quality\DPV Into Rattle Road\KW03\[Open Defects into Rattle Test Daily KW03D2.xlsx]BY73X - Assembly (PM)'!$C$6</v>
      </c>
      <c r="G6" s="7" t="str">
        <f t="shared" si="6"/>
        <v>=(SUMPRODUCT(('X:\BY7xx Shared Management Information\5. BY731 Line_Subs_Final  2018\01 Mike Gaffney\Quality\DPV Into Rattle Road\KW03\[Open Defects into Rattle Test Daily KW03D2.xlsx]BY73X - Assembly (PM)'!$I:$I="Paintshop")+0)+SUMPRODUCT(('X:\BY7xx Shared Management Information\5. BY731 Line_Subs_Final  2018\01 Mike Gaffney\Quality\DPV Into Rattle Road\KW03\[Open Defects into Rattle Test Daily KW03D2.xlsx]BY73X - Assembly (PM)'!$I:$I="Paint")+0))/'X:\BY7xx Shared Management Information\5. BY731 Line_Subs_Final  2018\01 Mike Gaffney\Quality\DPV Into Rattle Road\KW03\[Open Defects into Rattle Test Daily KW03D2.xlsx]BY73X - Assembly (PM)'!$C$4</v>
      </c>
      <c r="H6" s="7" t="str">
        <f t="shared" si="7"/>
        <v>=(SUMPRODUCT(('X:\BY7xx Shared Management Information\5. BY731 Line_Subs_Final  2018\01 Mike Gaffney\Quality\DPV Into Rattle Road\KW03\[Open Defects into Rattle Test Daily KW03D2.xlsx]BY73X - Assembly (PM)'!$I:$I="Car Locked")+0))/'X:\BY7xx Shared Management Information\5. BY731 Line_Subs_Final  2018\01 Mike Gaffney\Quality\DPV Into Rattle Road\KW03\[Open Defects into Rattle Test Daily KW03D2.xlsx]BY73X - Assembly (PM)'!$C$4</v>
      </c>
      <c r="I6" s="8" t="e">
        <f t="shared" ref="I6:I56" si="18">F6-G6-H6</f>
        <v>#VALUE!</v>
      </c>
      <c r="J6" s="6" t="str">
        <f t="shared" si="8"/>
        <v>='X:\BY7xx Shared Management Information\5. BY731 Line_Subs_Final  2018\01 Mike Gaffney\Quality\DPV Into Rattle Road\KW03\[Open Defects into Rattle Test Daily KW03D3.xlsx]BY73X - Assembly (PM)'!$C$6</v>
      </c>
      <c r="K6" s="7" t="str">
        <f t="shared" si="9"/>
        <v>=(SUMPRODUCT(('X:\BY7xx Shared Management Information\5. BY731 Line_Subs_Final  2018\01 Mike Gaffney\Quality\DPV Into Rattle Road\KW03\[Open Defects into Rattle Test Daily KW03D3.xlsx]BY73X - Assembly (PM)'!$I:$I="Paintshop")+0)+SUMPRODUCT(('X:\BY7xx Shared Management Information\5. BY731 Line_Subs_Final  2018\01 Mike Gaffney\Quality\DPV Into Rattle Road\KW03\[Open Defects into Rattle Test Daily KW03D3.xlsx]BY73X - Assembly (PM)'!$I:$I="Paint")+0))/'X:\BY7xx Shared Management Information\5. BY731 Line_Subs_Final  2018\01 Mike Gaffney\Quality\DPV Into Rattle Road\KW03\[Open Defects into Rattle Test Daily KW03D3.xlsx]BY73X - Assembly (PM)'!$C$4</v>
      </c>
      <c r="L6" s="7" t="str">
        <f t="shared" si="10"/>
        <v>=(SUMPRODUCT(('X:\BY7xx Shared Management Information\5. BY731 Line_Subs_Final  2018\01 Mike Gaffney\Quality\DPV Into Rattle Road\KW03\[Open Defects into Rattle Test Daily KW03D3.xlsx]BY73X - Assembly (PM)'!$I:$I="Car Locked")+0))/'X:\BY7xx Shared Management Information\5. BY731 Line_Subs_Final  2018\01 Mike Gaffney\Quality\DPV Into Rattle Road\KW03\[Open Defects into Rattle Test Daily KW03D3.xlsx]BY73X - Assembly (PM)'!$C$4</v>
      </c>
      <c r="M6" s="8" t="e">
        <f t="shared" ref="M6:M56" si="19">J6-K6-L6</f>
        <v>#VALUE!</v>
      </c>
      <c r="N6" s="6" t="str">
        <f t="shared" si="11"/>
        <v>='X:\BY7xx Shared Management Information\5. BY731 Line_Subs_Final  2018\01 Mike Gaffney\Quality\DPV Into Rattle Road\KW03\[Open Defects into Rattle Test Daily KW03D4.xlsx]BY73X - Assembly (PM)'!$C$6</v>
      </c>
      <c r="O6" s="7" t="str">
        <f t="shared" si="12"/>
        <v>=(SUMPRODUCT(('X:\BY7xx Shared Management Information\5. BY731 Line_Subs_Final  2018\01 Mike Gaffney\Quality\DPV Into Rattle Road\KW03\[Open Defects into Rattle Test Daily KW03D4.xlsx]BY73X - Assembly (PM)'!$I:$I="Paintshop")+0)+SUMPRODUCT(('X:\BY7xx Shared Management Information\5. BY731 Line_Subs_Final  2018\01 Mike Gaffney\Quality\DPV Into Rattle Road\KW03\[Open Defects into Rattle Test Daily KW03D4.xlsx]BY73X - Assembly (PM)'!$I:$I="Paint")+0))/'X:\BY7xx Shared Management Information\5. BY731 Line_Subs_Final  2018\01 Mike Gaffney\Quality\DPV Into Rattle Road\KW03\[Open Defects into Rattle Test Daily KW03D4.xlsx]BY73X - Assembly (PM)'!$C$4</v>
      </c>
      <c r="P6" s="7" t="str">
        <f t="shared" si="13"/>
        <v>=(SUMPRODUCT(('X:\BY7xx Shared Management Information\5. BY731 Line_Subs_Final  2018\01 Mike Gaffney\Quality\DPV Into Rattle Road\KW03\[Open Defects into Rattle Test Daily KW03D4.xlsx]BY73X - Assembly (PM)'!$I:$I="Car Locked")+0))/'X:\BY7xx Shared Management Information\5. BY731 Line_Subs_Final  2018\01 Mike Gaffney\Quality\DPV Into Rattle Road\KW03\[Open Defects into Rattle Test Daily KW03D4.xlsx]BY73X - Assembly (PM)'!$C$4</v>
      </c>
      <c r="Q6" s="8" t="e">
        <f t="shared" ref="Q6:Q56" si="20">N6-O6-P6</f>
        <v>#VALUE!</v>
      </c>
      <c r="R6" s="6" t="str">
        <f t="shared" si="11"/>
        <v>='X:\BY7xx Shared Management Information\5. BY731 Line_Subs_Final  2018\01 Mike Gaffney\Quality\DPV Into Rattle Road\KW03\[Open Defects into Rattle Test Daily KW03D5.xlsx]BY73X - Assembly (PM)'!$C$6</v>
      </c>
      <c r="S6" s="7" t="str">
        <f t="shared" si="14"/>
        <v>=(SUMPRODUCT(('X:\BY7xx Shared Management Information\5. BY731 Line_Subs_Final  2018\01 Mike Gaffney\Quality\DPV Into Rattle Road\KW03\[Open Defects into Rattle Test Daily KW03D5.xlsx]BY73X - Assembly (PM)'!$I:$I="Paintshop")+0)+SUMPRODUCT(('X:\BY7xx Shared Management Information\5. BY731 Line_Subs_Final  2018\01 Mike Gaffney\Quality\DPV Into Rattle Road\KW03\[Open Defects into Rattle Test Daily KW03D5.xlsx]BY73X - Assembly (PM)'!$I:$I="Paint")+0))/'X:\BY7xx Shared Management Information\5. BY731 Line_Subs_Final  2018\01 Mike Gaffney\Quality\DPV Into Rattle Road\KW03\[Open Defects into Rattle Test Daily KW03D5.xlsx]BY73X - Assembly (PM)'!$C$4</v>
      </c>
      <c r="T6" s="7" t="str">
        <f t="shared" si="15"/>
        <v>=(SUMPRODUCT(('X:\BY7xx Shared Management Information\5. BY731 Line_Subs_Final  2018\01 Mike Gaffney\Quality\DPV Into Rattle Road\KW03\[Open Defects into Rattle Test Daily KW03D5.xlsx]BY73X - Assembly (PM)'!$I:$I="Car Locked")+0))/'X:\BY7xx Shared Management Information\5. BY731 Line_Subs_Final  2018\01 Mike Gaffney\Quality\DPV Into Rattle Road\KW03\[Open Defects into Rattle Test Daily KW03D5.xlsx]BY73X - Assembly (PM)'!$C$4</v>
      </c>
      <c r="U6" s="8" t="e">
        <f t="shared" ref="U6:U56" si="21">R6-S6-T6</f>
        <v>#VALUE!</v>
      </c>
      <c r="V6" t="e">
        <f t="shared" ref="V6:V56" si="22">AVERAGE(B6,F6,J6,N6,R6)</f>
        <v>#DIV/0!</v>
      </c>
      <c r="W6" t="e">
        <f t="shared" ref="W6:W56" si="23">AVERAGE(C6,G6,K6,O6,S6)</f>
        <v>#DIV/0!</v>
      </c>
      <c r="X6" t="e">
        <f t="shared" ref="X6:X56" si="24">AVERAGE(D6,H6,L6,P6,T6)</f>
        <v>#DIV/0!</v>
      </c>
      <c r="Y6" t="e">
        <f t="shared" ref="Y6:Y56" si="25">AVERAGE(E6,I6,M6,Q6,U6)</f>
        <v>#VALUE!</v>
      </c>
      <c r="Z6" s="3">
        <v>1.57</v>
      </c>
    </row>
    <row r="7" spans="1:26" x14ac:dyDescent="0.2">
      <c r="A7" t="s">
        <v>20</v>
      </c>
      <c r="B7" s="6" t="str">
        <f t="shared" si="2"/>
        <v>='X:\BY7xx Shared Management Information\5. BY731 Line_Subs_Final  2018\01 Mike Gaffney\Quality\DPV Into Rattle Road\KW04\[Open Defects into Rattle Test Daily KW04D1.xlsx]BY73X - Assembly (PM)'!$C$6</v>
      </c>
      <c r="C7" s="7" t="str">
        <f t="shared" si="3"/>
        <v>=(SUMPRODUCT(('X:\BY7xx Shared Management Information\5. BY731 Line_Subs_Final  2018\01 Mike Gaffney\Quality\DPV Into Rattle Road\KW04\[Open Defects into Rattle Test Daily KW04D1.xlsx]BY73X - Assembly (PM)'!$I:$I="Paintshop")+0)+SUMPRODUCT(('X:\BY7xx Shared Management Information\5. BY731 Line_Subs_Final  2018\01 Mike Gaffney\Quality\DPV Into Rattle Road\KW04\[Open Defects into Rattle Test Daily KW04D1.xlsx]BY73X - Assembly (PM)'!$I:$I="Paint")+0))/'X:\BY7xx Shared Management Information\5. BY731 Line_Subs_Final  2018\01 Mike Gaffney\Quality\DPV Into Rattle Road\KW04\[Open Defects into Rattle Test Daily KW04D1.xlsx]BY73X - Assembly (PM)'!$C$4</v>
      </c>
      <c r="D7" s="7" t="str">
        <f t="shared" si="4"/>
        <v>=(SUMPRODUCT(('X:\BY7xx Shared Management Information\5. BY731 Line_Subs_Final  2018\01 Mike Gaffney\Quality\DPV Into Rattle Road\KW04\[Open Defects into Rattle Test Daily KW04D1.xlsx]BY73X - Assembly (PM)'!$I:$I="Car Locked")+0))/'X:\BY7xx Shared Management Information\5. BY731 Line_Subs_Final  2018\01 Mike Gaffney\Quality\DPV Into Rattle Road\KW04\[Open Defects into Rattle Test Daily KW04D1.xlsx]BY73X - Assembly (PM)'!$C$4</v>
      </c>
      <c r="E7" s="8" t="e">
        <f t="shared" si="17"/>
        <v>#VALUE!</v>
      </c>
      <c r="F7" s="6" t="str">
        <f t="shared" si="5"/>
        <v>='X:\BY7xx Shared Management Information\5. BY731 Line_Subs_Final  2018\01 Mike Gaffney\Quality\DPV Into Rattle Road\KW04\[Open Defects into Rattle Test Daily KW04D2.xlsx]BY73X - Assembly (PM)'!$C$6</v>
      </c>
      <c r="G7" s="7" t="str">
        <f t="shared" si="6"/>
        <v>=(SUMPRODUCT(('X:\BY7xx Shared Management Information\5. BY731 Line_Subs_Final  2018\01 Mike Gaffney\Quality\DPV Into Rattle Road\KW04\[Open Defects into Rattle Test Daily KW04D2.xlsx]BY73X - Assembly (PM)'!$I:$I="Paintshop")+0)+SUMPRODUCT(('X:\BY7xx Shared Management Information\5. BY731 Line_Subs_Final  2018\01 Mike Gaffney\Quality\DPV Into Rattle Road\KW04\[Open Defects into Rattle Test Daily KW04D2.xlsx]BY73X - Assembly (PM)'!$I:$I="Paint")+0))/'X:\BY7xx Shared Management Information\5. BY731 Line_Subs_Final  2018\01 Mike Gaffney\Quality\DPV Into Rattle Road\KW04\[Open Defects into Rattle Test Daily KW04D2.xlsx]BY73X - Assembly (PM)'!$C$4</v>
      </c>
      <c r="H7" s="7" t="str">
        <f t="shared" si="7"/>
        <v>=(SUMPRODUCT(('X:\BY7xx Shared Management Information\5. BY731 Line_Subs_Final  2018\01 Mike Gaffney\Quality\DPV Into Rattle Road\KW04\[Open Defects into Rattle Test Daily KW04D2.xlsx]BY73X - Assembly (PM)'!$I:$I="Car Locked")+0))/'X:\BY7xx Shared Management Information\5. BY731 Line_Subs_Final  2018\01 Mike Gaffney\Quality\DPV Into Rattle Road\KW04\[Open Defects into Rattle Test Daily KW04D2.xlsx]BY73X - Assembly (PM)'!$C$4</v>
      </c>
      <c r="I7" s="8" t="e">
        <f t="shared" si="18"/>
        <v>#VALUE!</v>
      </c>
      <c r="J7" s="6" t="str">
        <f t="shared" si="8"/>
        <v>='X:\BY7xx Shared Management Information\5. BY731 Line_Subs_Final  2018\01 Mike Gaffney\Quality\DPV Into Rattle Road\KW04\[Open Defects into Rattle Test Daily KW04D3.xlsx]BY73X - Assembly (PM)'!$C$6</v>
      </c>
      <c r="K7" s="7" t="str">
        <f t="shared" si="9"/>
        <v>=(SUMPRODUCT(('X:\BY7xx Shared Management Information\5. BY731 Line_Subs_Final  2018\01 Mike Gaffney\Quality\DPV Into Rattle Road\KW04\[Open Defects into Rattle Test Daily KW04D3.xlsx]BY73X - Assembly (PM)'!$I:$I="Paintshop")+0)+SUMPRODUCT(('X:\BY7xx Shared Management Information\5. BY731 Line_Subs_Final  2018\01 Mike Gaffney\Quality\DPV Into Rattle Road\KW04\[Open Defects into Rattle Test Daily KW04D3.xlsx]BY73X - Assembly (PM)'!$I:$I="Paint")+0))/'X:\BY7xx Shared Management Information\5. BY731 Line_Subs_Final  2018\01 Mike Gaffney\Quality\DPV Into Rattle Road\KW04\[Open Defects into Rattle Test Daily KW04D3.xlsx]BY73X - Assembly (PM)'!$C$4</v>
      </c>
      <c r="L7" s="7" t="str">
        <f t="shared" si="10"/>
        <v>=(SUMPRODUCT(('X:\BY7xx Shared Management Information\5. BY731 Line_Subs_Final  2018\01 Mike Gaffney\Quality\DPV Into Rattle Road\KW04\[Open Defects into Rattle Test Daily KW04D3.xlsx]BY73X - Assembly (PM)'!$I:$I="Car Locked")+0))/'X:\BY7xx Shared Management Information\5. BY731 Line_Subs_Final  2018\01 Mike Gaffney\Quality\DPV Into Rattle Road\KW04\[Open Defects into Rattle Test Daily KW04D3.xlsx]BY73X - Assembly (PM)'!$C$4</v>
      </c>
      <c r="M7" s="8" t="e">
        <f t="shared" si="19"/>
        <v>#VALUE!</v>
      </c>
      <c r="N7" s="6" t="str">
        <f t="shared" si="11"/>
        <v>='X:\BY7xx Shared Management Information\5. BY731 Line_Subs_Final  2018\01 Mike Gaffney\Quality\DPV Into Rattle Road\KW04\[Open Defects into Rattle Test Daily KW04D4.xlsx]BY73X - Assembly (PM)'!$C$6</v>
      </c>
      <c r="O7" s="7" t="str">
        <f t="shared" si="12"/>
        <v>=(SUMPRODUCT(('X:\BY7xx Shared Management Information\5. BY731 Line_Subs_Final  2018\01 Mike Gaffney\Quality\DPV Into Rattle Road\KW04\[Open Defects into Rattle Test Daily KW04D4.xlsx]BY73X - Assembly (PM)'!$I:$I="Paintshop")+0)+SUMPRODUCT(('X:\BY7xx Shared Management Information\5. BY731 Line_Subs_Final  2018\01 Mike Gaffney\Quality\DPV Into Rattle Road\KW04\[Open Defects into Rattle Test Daily KW04D4.xlsx]BY73X - Assembly (PM)'!$I:$I="Paint")+0))/'X:\BY7xx Shared Management Information\5. BY731 Line_Subs_Final  2018\01 Mike Gaffney\Quality\DPV Into Rattle Road\KW04\[Open Defects into Rattle Test Daily KW04D4.xlsx]BY73X - Assembly (PM)'!$C$4</v>
      </c>
      <c r="P7" s="7" t="str">
        <f t="shared" si="13"/>
        <v>=(SUMPRODUCT(('X:\BY7xx Shared Management Information\5. BY731 Line_Subs_Final  2018\01 Mike Gaffney\Quality\DPV Into Rattle Road\KW04\[Open Defects into Rattle Test Daily KW04D4.xlsx]BY73X - Assembly (PM)'!$I:$I="Car Locked")+0))/'X:\BY7xx Shared Management Information\5. BY731 Line_Subs_Final  2018\01 Mike Gaffney\Quality\DPV Into Rattle Road\KW04\[Open Defects into Rattle Test Daily KW04D4.xlsx]BY73X - Assembly (PM)'!$C$4</v>
      </c>
      <c r="Q7" s="8" t="e">
        <f t="shared" si="20"/>
        <v>#VALUE!</v>
      </c>
      <c r="R7" s="6" t="str">
        <f t="shared" si="11"/>
        <v>='X:\BY7xx Shared Management Information\5. BY731 Line_Subs_Final  2018\01 Mike Gaffney\Quality\DPV Into Rattle Road\KW04\[Open Defects into Rattle Test Daily KW04D5.xlsx]BY73X - Assembly (PM)'!$C$6</v>
      </c>
      <c r="S7" s="7" t="str">
        <f t="shared" si="14"/>
        <v>=(SUMPRODUCT(('X:\BY7xx Shared Management Information\5. BY731 Line_Subs_Final  2018\01 Mike Gaffney\Quality\DPV Into Rattle Road\KW04\[Open Defects into Rattle Test Daily KW04D5.xlsx]BY73X - Assembly (PM)'!$I:$I="Paintshop")+0)+SUMPRODUCT(('X:\BY7xx Shared Management Information\5. BY731 Line_Subs_Final  2018\01 Mike Gaffney\Quality\DPV Into Rattle Road\KW04\[Open Defects into Rattle Test Daily KW04D5.xlsx]BY73X - Assembly (PM)'!$I:$I="Paint")+0))/'X:\BY7xx Shared Management Information\5. BY731 Line_Subs_Final  2018\01 Mike Gaffney\Quality\DPV Into Rattle Road\KW04\[Open Defects into Rattle Test Daily KW04D5.xlsx]BY73X - Assembly (PM)'!$C$4</v>
      </c>
      <c r="T7" s="7" t="str">
        <f t="shared" si="15"/>
        <v>=(SUMPRODUCT(('X:\BY7xx Shared Management Information\5. BY731 Line_Subs_Final  2018\01 Mike Gaffney\Quality\DPV Into Rattle Road\KW04\[Open Defects into Rattle Test Daily KW04D5.xlsx]BY73X - Assembly (PM)'!$I:$I="Car Locked")+0))/'X:\BY7xx Shared Management Information\5. BY731 Line_Subs_Final  2018\01 Mike Gaffney\Quality\DPV Into Rattle Road\KW04\[Open Defects into Rattle Test Daily KW04D5.xlsx]BY73X - Assembly (PM)'!$C$4</v>
      </c>
      <c r="U7" s="8" t="e">
        <f t="shared" si="21"/>
        <v>#VALUE!</v>
      </c>
      <c r="V7" t="e">
        <f t="shared" si="22"/>
        <v>#DIV/0!</v>
      </c>
      <c r="W7" t="e">
        <f t="shared" si="23"/>
        <v>#DIV/0!</v>
      </c>
      <c r="X7" t="e">
        <f t="shared" si="24"/>
        <v>#DIV/0!</v>
      </c>
      <c r="Y7" t="e">
        <f t="shared" si="25"/>
        <v>#VALUE!</v>
      </c>
      <c r="Z7" s="3">
        <v>1.57</v>
      </c>
    </row>
    <row r="8" spans="1:26" x14ac:dyDescent="0.2">
      <c r="A8" t="s">
        <v>21</v>
      </c>
      <c r="B8" s="6" t="str">
        <f t="shared" si="2"/>
        <v>='X:\BY7xx Shared Management Information\5. BY731 Line_Subs_Final  2018\01 Mike Gaffney\Quality\DPV Into Rattle Road\KW05\[Open Defects into Rattle Test Daily KW05D1.xlsx]BY73X - Assembly (PM)'!$C$6</v>
      </c>
      <c r="C8" s="7" t="str">
        <f t="shared" si="3"/>
        <v>=(SUMPRODUCT(('X:\BY7xx Shared Management Information\5. BY731 Line_Subs_Final  2018\01 Mike Gaffney\Quality\DPV Into Rattle Road\KW05\[Open Defects into Rattle Test Daily KW05D1.xlsx]BY73X - Assembly (PM)'!$I:$I="Paintshop")+0)+SUMPRODUCT(('X:\BY7xx Shared Management Information\5. BY731 Line_Subs_Final  2018\01 Mike Gaffney\Quality\DPV Into Rattle Road\KW05\[Open Defects into Rattle Test Daily KW05D1.xlsx]BY73X - Assembly (PM)'!$I:$I="Paint")+0))/'X:\BY7xx Shared Management Information\5. BY731 Line_Subs_Final  2018\01 Mike Gaffney\Quality\DPV Into Rattle Road\KW05\[Open Defects into Rattle Test Daily KW05D1.xlsx]BY73X - Assembly (PM)'!$C$4</v>
      </c>
      <c r="D8" s="7" t="str">
        <f t="shared" si="4"/>
        <v>=(SUMPRODUCT(('X:\BY7xx Shared Management Information\5. BY731 Line_Subs_Final  2018\01 Mike Gaffney\Quality\DPV Into Rattle Road\KW05\[Open Defects into Rattle Test Daily KW05D1.xlsx]BY73X - Assembly (PM)'!$I:$I="Car Locked")+0))/'X:\BY7xx Shared Management Information\5. BY731 Line_Subs_Final  2018\01 Mike Gaffney\Quality\DPV Into Rattle Road\KW05\[Open Defects into Rattle Test Daily KW05D1.xlsx]BY73X - Assembly (PM)'!$C$4</v>
      </c>
      <c r="E8" s="8" t="e">
        <f t="shared" si="17"/>
        <v>#VALUE!</v>
      </c>
      <c r="F8" s="6" t="str">
        <f t="shared" si="5"/>
        <v>='X:\BY7xx Shared Management Information\5. BY731 Line_Subs_Final  2018\01 Mike Gaffney\Quality\DPV Into Rattle Road\KW05\[Open Defects into Rattle Test Daily KW05D2.xlsx]BY73X - Assembly (PM)'!$C$6</v>
      </c>
      <c r="G8" s="7" t="str">
        <f t="shared" si="6"/>
        <v>=(SUMPRODUCT(('X:\BY7xx Shared Management Information\5. BY731 Line_Subs_Final  2018\01 Mike Gaffney\Quality\DPV Into Rattle Road\KW05\[Open Defects into Rattle Test Daily KW05D2.xlsx]BY73X - Assembly (PM)'!$I:$I="Paintshop")+0)+SUMPRODUCT(('X:\BY7xx Shared Management Information\5. BY731 Line_Subs_Final  2018\01 Mike Gaffney\Quality\DPV Into Rattle Road\KW05\[Open Defects into Rattle Test Daily KW05D2.xlsx]BY73X - Assembly (PM)'!$I:$I="Paint")+0))/'X:\BY7xx Shared Management Information\5. BY731 Line_Subs_Final  2018\01 Mike Gaffney\Quality\DPV Into Rattle Road\KW05\[Open Defects into Rattle Test Daily KW05D2.xlsx]BY73X - Assembly (PM)'!$C$4</v>
      </c>
      <c r="H8" s="7" t="str">
        <f t="shared" si="7"/>
        <v>=(SUMPRODUCT(('X:\BY7xx Shared Management Information\5. BY731 Line_Subs_Final  2018\01 Mike Gaffney\Quality\DPV Into Rattle Road\KW05\[Open Defects into Rattle Test Daily KW05D2.xlsx]BY73X - Assembly (PM)'!$I:$I="Car Locked")+0))/'X:\BY7xx Shared Management Information\5. BY731 Line_Subs_Final  2018\01 Mike Gaffney\Quality\DPV Into Rattle Road\KW05\[Open Defects into Rattle Test Daily KW05D2.xlsx]BY73X - Assembly (PM)'!$C$4</v>
      </c>
      <c r="I8" s="8" t="e">
        <f t="shared" si="18"/>
        <v>#VALUE!</v>
      </c>
      <c r="J8" s="6" t="str">
        <f t="shared" si="8"/>
        <v>='X:\BY7xx Shared Management Information\5. BY731 Line_Subs_Final  2018\01 Mike Gaffney\Quality\DPV Into Rattle Road\KW05\[Open Defects into Rattle Test Daily KW05D3.xlsx]BY73X - Assembly (PM)'!$C$6</v>
      </c>
      <c r="K8" s="7" t="str">
        <f t="shared" si="9"/>
        <v>=(SUMPRODUCT(('X:\BY7xx Shared Management Information\5. BY731 Line_Subs_Final  2018\01 Mike Gaffney\Quality\DPV Into Rattle Road\KW05\[Open Defects into Rattle Test Daily KW05D3.xlsx]BY73X - Assembly (PM)'!$I:$I="Paintshop")+0)+SUMPRODUCT(('X:\BY7xx Shared Management Information\5. BY731 Line_Subs_Final  2018\01 Mike Gaffney\Quality\DPV Into Rattle Road\KW05\[Open Defects into Rattle Test Daily KW05D3.xlsx]BY73X - Assembly (PM)'!$I:$I="Paint")+0))/'X:\BY7xx Shared Management Information\5. BY731 Line_Subs_Final  2018\01 Mike Gaffney\Quality\DPV Into Rattle Road\KW05\[Open Defects into Rattle Test Daily KW05D3.xlsx]BY73X - Assembly (PM)'!$C$4</v>
      </c>
      <c r="L8" s="7" t="str">
        <f t="shared" si="10"/>
        <v>=(SUMPRODUCT(('X:\BY7xx Shared Management Information\5. BY731 Line_Subs_Final  2018\01 Mike Gaffney\Quality\DPV Into Rattle Road\KW05\[Open Defects into Rattle Test Daily KW05D3.xlsx]BY73X - Assembly (PM)'!$I:$I="Car Locked")+0))/'X:\BY7xx Shared Management Information\5. BY731 Line_Subs_Final  2018\01 Mike Gaffney\Quality\DPV Into Rattle Road\KW05\[Open Defects into Rattle Test Daily KW05D3.xlsx]BY73X - Assembly (PM)'!$C$4</v>
      </c>
      <c r="M8" s="8" t="e">
        <f t="shared" si="19"/>
        <v>#VALUE!</v>
      </c>
      <c r="N8" s="6" t="str">
        <f t="shared" si="11"/>
        <v>='X:\BY7xx Shared Management Information\5. BY731 Line_Subs_Final  2018\01 Mike Gaffney\Quality\DPV Into Rattle Road\KW05\[Open Defects into Rattle Test Daily KW05D4.xlsx]BY73X - Assembly (PM)'!$C$6</v>
      </c>
      <c r="O8" s="7" t="str">
        <f t="shared" si="12"/>
        <v>=(SUMPRODUCT(('X:\BY7xx Shared Management Information\5. BY731 Line_Subs_Final  2018\01 Mike Gaffney\Quality\DPV Into Rattle Road\KW05\[Open Defects into Rattle Test Daily KW05D4.xlsx]BY73X - Assembly (PM)'!$I:$I="Paintshop")+0)+SUMPRODUCT(('X:\BY7xx Shared Management Information\5. BY731 Line_Subs_Final  2018\01 Mike Gaffney\Quality\DPV Into Rattle Road\KW05\[Open Defects into Rattle Test Daily KW05D4.xlsx]BY73X - Assembly (PM)'!$I:$I="Paint")+0))/'X:\BY7xx Shared Management Information\5. BY731 Line_Subs_Final  2018\01 Mike Gaffney\Quality\DPV Into Rattle Road\KW05\[Open Defects into Rattle Test Daily KW05D4.xlsx]BY73X - Assembly (PM)'!$C$4</v>
      </c>
      <c r="P8" s="7" t="str">
        <f t="shared" si="13"/>
        <v>=(SUMPRODUCT(('X:\BY7xx Shared Management Information\5. BY731 Line_Subs_Final  2018\01 Mike Gaffney\Quality\DPV Into Rattle Road\KW05\[Open Defects into Rattle Test Daily KW05D4.xlsx]BY73X - Assembly (PM)'!$I:$I="Car Locked")+0))/'X:\BY7xx Shared Management Information\5. BY731 Line_Subs_Final  2018\01 Mike Gaffney\Quality\DPV Into Rattle Road\KW05\[Open Defects into Rattle Test Daily KW05D4.xlsx]BY73X - Assembly (PM)'!$C$4</v>
      </c>
      <c r="Q8" s="8" t="e">
        <f t="shared" si="20"/>
        <v>#VALUE!</v>
      </c>
      <c r="R8" s="6" t="str">
        <f t="shared" si="11"/>
        <v>='X:\BY7xx Shared Management Information\5. BY731 Line_Subs_Final  2018\01 Mike Gaffney\Quality\DPV Into Rattle Road\KW05\[Open Defects into Rattle Test Daily KW05D5.xlsx]BY73X - Assembly (PM)'!$C$6</v>
      </c>
      <c r="S8" s="7" t="str">
        <f t="shared" si="14"/>
        <v>=(SUMPRODUCT(('X:\BY7xx Shared Management Information\5. BY731 Line_Subs_Final  2018\01 Mike Gaffney\Quality\DPV Into Rattle Road\KW05\[Open Defects into Rattle Test Daily KW05D5.xlsx]BY73X - Assembly (PM)'!$I:$I="Paintshop")+0)+SUMPRODUCT(('X:\BY7xx Shared Management Information\5. BY731 Line_Subs_Final  2018\01 Mike Gaffney\Quality\DPV Into Rattle Road\KW05\[Open Defects into Rattle Test Daily KW05D5.xlsx]BY73X - Assembly (PM)'!$I:$I="Paint")+0))/'X:\BY7xx Shared Management Information\5. BY731 Line_Subs_Final  2018\01 Mike Gaffney\Quality\DPV Into Rattle Road\KW05\[Open Defects into Rattle Test Daily KW05D5.xlsx]BY73X - Assembly (PM)'!$C$4</v>
      </c>
      <c r="T8" s="7" t="str">
        <f t="shared" si="15"/>
        <v>=(SUMPRODUCT(('X:\BY7xx Shared Management Information\5. BY731 Line_Subs_Final  2018\01 Mike Gaffney\Quality\DPV Into Rattle Road\KW05\[Open Defects into Rattle Test Daily KW05D5.xlsx]BY73X - Assembly (PM)'!$I:$I="Car Locked")+0))/'X:\BY7xx Shared Management Information\5. BY731 Line_Subs_Final  2018\01 Mike Gaffney\Quality\DPV Into Rattle Road\KW05\[Open Defects into Rattle Test Daily KW05D5.xlsx]BY73X - Assembly (PM)'!$C$4</v>
      </c>
      <c r="U8" s="8" t="e">
        <f t="shared" si="21"/>
        <v>#VALUE!</v>
      </c>
      <c r="V8" t="e">
        <f t="shared" si="22"/>
        <v>#DIV/0!</v>
      </c>
      <c r="W8" t="e">
        <f t="shared" si="23"/>
        <v>#DIV/0!</v>
      </c>
      <c r="X8" t="e">
        <f t="shared" si="24"/>
        <v>#DIV/0!</v>
      </c>
      <c r="Y8" t="e">
        <f t="shared" si="25"/>
        <v>#VALUE!</v>
      </c>
      <c r="Z8" s="3">
        <v>1.57</v>
      </c>
    </row>
    <row r="9" spans="1:26" x14ac:dyDescent="0.2">
      <c r="A9" t="s">
        <v>22</v>
      </c>
      <c r="B9" s="6" t="str">
        <f t="shared" si="2"/>
        <v>='X:\BY7xx Shared Management Information\5. BY731 Line_Subs_Final  2018\01 Mike Gaffney\Quality\DPV Into Rattle Road\KW06\[Open Defects into Rattle Test Daily KW06D1.xlsx]BY73X - Assembly (PM)'!$C$6</v>
      </c>
      <c r="C9" s="7" t="str">
        <f t="shared" si="3"/>
        <v>=(SUMPRODUCT(('X:\BY7xx Shared Management Information\5. BY731 Line_Subs_Final  2018\01 Mike Gaffney\Quality\DPV Into Rattle Road\KW06\[Open Defects into Rattle Test Daily KW06D1.xlsx]BY73X - Assembly (PM)'!$I:$I="Paintshop")+0)+SUMPRODUCT(('X:\BY7xx Shared Management Information\5. BY731 Line_Subs_Final  2018\01 Mike Gaffney\Quality\DPV Into Rattle Road\KW06\[Open Defects into Rattle Test Daily KW06D1.xlsx]BY73X - Assembly (PM)'!$I:$I="Paint")+0))/'X:\BY7xx Shared Management Information\5. BY731 Line_Subs_Final  2018\01 Mike Gaffney\Quality\DPV Into Rattle Road\KW06\[Open Defects into Rattle Test Daily KW06D1.xlsx]BY73X - Assembly (PM)'!$C$4</v>
      </c>
      <c r="D9" s="7" t="str">
        <f t="shared" si="4"/>
        <v>=(SUMPRODUCT(('X:\BY7xx Shared Management Information\5. BY731 Line_Subs_Final  2018\01 Mike Gaffney\Quality\DPV Into Rattle Road\KW06\[Open Defects into Rattle Test Daily KW06D1.xlsx]BY73X - Assembly (PM)'!$I:$I="Car Locked")+0))/'X:\BY7xx Shared Management Information\5. BY731 Line_Subs_Final  2018\01 Mike Gaffney\Quality\DPV Into Rattle Road\KW06\[Open Defects into Rattle Test Daily KW06D1.xlsx]BY73X - Assembly (PM)'!$C$4</v>
      </c>
      <c r="E9" s="8" t="e">
        <f t="shared" si="17"/>
        <v>#VALUE!</v>
      </c>
      <c r="F9" s="6" t="str">
        <f t="shared" si="5"/>
        <v>='X:\BY7xx Shared Management Information\5. BY731 Line_Subs_Final  2018\01 Mike Gaffney\Quality\DPV Into Rattle Road\KW06\[Open Defects into Rattle Test Daily KW06D2.xlsx]BY73X - Assembly (PM)'!$C$6</v>
      </c>
      <c r="G9" s="7" t="str">
        <f t="shared" si="6"/>
        <v>=(SUMPRODUCT(('X:\BY7xx Shared Management Information\5. BY731 Line_Subs_Final  2018\01 Mike Gaffney\Quality\DPV Into Rattle Road\KW06\[Open Defects into Rattle Test Daily KW06D2.xlsx]BY73X - Assembly (PM)'!$I:$I="Paintshop")+0)+SUMPRODUCT(('X:\BY7xx Shared Management Information\5. BY731 Line_Subs_Final  2018\01 Mike Gaffney\Quality\DPV Into Rattle Road\KW06\[Open Defects into Rattle Test Daily KW06D2.xlsx]BY73X - Assembly (PM)'!$I:$I="Paint")+0))/'X:\BY7xx Shared Management Information\5. BY731 Line_Subs_Final  2018\01 Mike Gaffney\Quality\DPV Into Rattle Road\KW06\[Open Defects into Rattle Test Daily KW06D2.xlsx]BY73X - Assembly (PM)'!$C$4</v>
      </c>
      <c r="H9" s="7" t="str">
        <f t="shared" si="7"/>
        <v>=(SUMPRODUCT(('X:\BY7xx Shared Management Information\5. BY731 Line_Subs_Final  2018\01 Mike Gaffney\Quality\DPV Into Rattle Road\KW06\[Open Defects into Rattle Test Daily KW06D2.xlsx]BY73X - Assembly (PM)'!$I:$I="Car Locked")+0))/'X:\BY7xx Shared Management Information\5. BY731 Line_Subs_Final  2018\01 Mike Gaffney\Quality\DPV Into Rattle Road\KW06\[Open Defects into Rattle Test Daily KW06D2.xlsx]BY73X - Assembly (PM)'!$C$4</v>
      </c>
      <c r="I9" s="8" t="e">
        <f t="shared" si="18"/>
        <v>#VALUE!</v>
      </c>
      <c r="J9" s="6" t="str">
        <f t="shared" si="8"/>
        <v>='X:\BY7xx Shared Management Information\5. BY731 Line_Subs_Final  2018\01 Mike Gaffney\Quality\DPV Into Rattle Road\KW06\[Open Defects into Rattle Test Daily KW06D3.xlsx]BY73X - Assembly (PM)'!$C$6</v>
      </c>
      <c r="K9" s="7" t="str">
        <f t="shared" si="9"/>
        <v>=(SUMPRODUCT(('X:\BY7xx Shared Management Information\5. BY731 Line_Subs_Final  2018\01 Mike Gaffney\Quality\DPV Into Rattle Road\KW06\[Open Defects into Rattle Test Daily KW06D3.xlsx]BY73X - Assembly (PM)'!$I:$I="Paintshop")+0)+SUMPRODUCT(('X:\BY7xx Shared Management Information\5. BY731 Line_Subs_Final  2018\01 Mike Gaffney\Quality\DPV Into Rattle Road\KW06\[Open Defects into Rattle Test Daily KW06D3.xlsx]BY73X - Assembly (PM)'!$I:$I="Paint")+0))/'X:\BY7xx Shared Management Information\5. BY731 Line_Subs_Final  2018\01 Mike Gaffney\Quality\DPV Into Rattle Road\KW06\[Open Defects into Rattle Test Daily KW06D3.xlsx]BY73X - Assembly (PM)'!$C$4</v>
      </c>
      <c r="L9" s="7" t="str">
        <f t="shared" si="10"/>
        <v>=(SUMPRODUCT(('X:\BY7xx Shared Management Information\5. BY731 Line_Subs_Final  2018\01 Mike Gaffney\Quality\DPV Into Rattle Road\KW06\[Open Defects into Rattle Test Daily KW06D3.xlsx]BY73X - Assembly (PM)'!$I:$I="Car Locked")+0))/'X:\BY7xx Shared Management Information\5. BY731 Line_Subs_Final  2018\01 Mike Gaffney\Quality\DPV Into Rattle Road\KW06\[Open Defects into Rattle Test Daily KW06D3.xlsx]BY73X - Assembly (PM)'!$C$4</v>
      </c>
      <c r="M9" s="8" t="e">
        <f t="shared" si="19"/>
        <v>#VALUE!</v>
      </c>
      <c r="N9" s="6" t="str">
        <f t="shared" si="11"/>
        <v>='X:\BY7xx Shared Management Information\5. BY731 Line_Subs_Final  2018\01 Mike Gaffney\Quality\DPV Into Rattle Road\KW06\[Open Defects into Rattle Test Daily KW06D4.xlsx]BY73X - Assembly (PM)'!$C$6</v>
      </c>
      <c r="O9" s="7" t="str">
        <f t="shared" si="12"/>
        <v>=(SUMPRODUCT(('X:\BY7xx Shared Management Information\5. BY731 Line_Subs_Final  2018\01 Mike Gaffney\Quality\DPV Into Rattle Road\KW06\[Open Defects into Rattle Test Daily KW06D4.xlsx]BY73X - Assembly (PM)'!$I:$I="Paintshop")+0)+SUMPRODUCT(('X:\BY7xx Shared Management Information\5. BY731 Line_Subs_Final  2018\01 Mike Gaffney\Quality\DPV Into Rattle Road\KW06\[Open Defects into Rattle Test Daily KW06D4.xlsx]BY73X - Assembly (PM)'!$I:$I="Paint")+0))/'X:\BY7xx Shared Management Information\5. BY731 Line_Subs_Final  2018\01 Mike Gaffney\Quality\DPV Into Rattle Road\KW06\[Open Defects into Rattle Test Daily KW06D4.xlsx]BY73X - Assembly (PM)'!$C$4</v>
      </c>
      <c r="P9" s="7" t="str">
        <f t="shared" si="13"/>
        <v>=(SUMPRODUCT(('X:\BY7xx Shared Management Information\5. BY731 Line_Subs_Final  2018\01 Mike Gaffney\Quality\DPV Into Rattle Road\KW06\[Open Defects into Rattle Test Daily KW06D4.xlsx]BY73X - Assembly (PM)'!$I:$I="Car Locked")+0))/'X:\BY7xx Shared Management Information\5. BY731 Line_Subs_Final  2018\01 Mike Gaffney\Quality\DPV Into Rattle Road\KW06\[Open Defects into Rattle Test Daily KW06D4.xlsx]BY73X - Assembly (PM)'!$C$4</v>
      </c>
      <c r="Q9" s="8" t="e">
        <f t="shared" si="20"/>
        <v>#VALUE!</v>
      </c>
      <c r="R9" s="6" t="str">
        <f t="shared" si="11"/>
        <v>='X:\BY7xx Shared Management Information\5. BY731 Line_Subs_Final  2018\01 Mike Gaffney\Quality\DPV Into Rattle Road\KW06\[Open Defects into Rattle Test Daily KW06D5.xlsx]BY73X - Assembly (PM)'!$C$6</v>
      </c>
      <c r="S9" s="7" t="str">
        <f t="shared" si="14"/>
        <v>=(SUMPRODUCT(('X:\BY7xx Shared Management Information\5. BY731 Line_Subs_Final  2018\01 Mike Gaffney\Quality\DPV Into Rattle Road\KW06\[Open Defects into Rattle Test Daily KW06D5.xlsx]BY73X - Assembly (PM)'!$I:$I="Paintshop")+0)+SUMPRODUCT(('X:\BY7xx Shared Management Information\5. BY731 Line_Subs_Final  2018\01 Mike Gaffney\Quality\DPV Into Rattle Road\KW06\[Open Defects into Rattle Test Daily KW06D5.xlsx]BY73X - Assembly (PM)'!$I:$I="Paint")+0))/'X:\BY7xx Shared Management Information\5. BY731 Line_Subs_Final  2018\01 Mike Gaffney\Quality\DPV Into Rattle Road\KW06\[Open Defects into Rattle Test Daily KW06D5.xlsx]BY73X - Assembly (PM)'!$C$4</v>
      </c>
      <c r="T9" s="7" t="str">
        <f t="shared" si="15"/>
        <v>=(SUMPRODUCT(('X:\BY7xx Shared Management Information\5. BY731 Line_Subs_Final  2018\01 Mike Gaffney\Quality\DPV Into Rattle Road\KW06\[Open Defects into Rattle Test Daily KW06D5.xlsx]BY73X - Assembly (PM)'!$I:$I="Car Locked")+0))/'X:\BY7xx Shared Management Information\5. BY731 Line_Subs_Final  2018\01 Mike Gaffney\Quality\DPV Into Rattle Road\KW06\[Open Defects into Rattle Test Daily KW06D5.xlsx]BY73X - Assembly (PM)'!$C$4</v>
      </c>
      <c r="U9" s="8" t="e">
        <f t="shared" si="21"/>
        <v>#VALUE!</v>
      </c>
      <c r="V9" t="e">
        <f t="shared" si="22"/>
        <v>#DIV/0!</v>
      </c>
      <c r="W9" t="e">
        <f t="shared" si="23"/>
        <v>#DIV/0!</v>
      </c>
      <c r="X9" t="e">
        <f t="shared" si="24"/>
        <v>#DIV/0!</v>
      </c>
      <c r="Y9" t="e">
        <f t="shared" si="25"/>
        <v>#VALUE!</v>
      </c>
      <c r="Z9" s="3">
        <v>1.57</v>
      </c>
    </row>
    <row r="10" spans="1:26" x14ac:dyDescent="0.2">
      <c r="A10" t="s">
        <v>23</v>
      </c>
      <c r="B10" s="6" t="str">
        <f t="shared" si="2"/>
        <v>='X:\BY7xx Shared Management Information\5. BY731 Line_Subs_Final  2018\01 Mike Gaffney\Quality\DPV Into Rattle Road\KW07\[Open Defects into Rattle Test Daily KW07D1.xlsx]BY73X - Assembly (PM)'!$C$6</v>
      </c>
      <c r="C10" s="7" t="str">
        <f t="shared" si="3"/>
        <v>=(SUMPRODUCT(('X:\BY7xx Shared Management Information\5. BY731 Line_Subs_Final  2018\01 Mike Gaffney\Quality\DPV Into Rattle Road\KW07\[Open Defects into Rattle Test Daily KW07D1.xlsx]BY73X - Assembly (PM)'!$I:$I="Paintshop")+0)+SUMPRODUCT(('X:\BY7xx Shared Management Information\5. BY731 Line_Subs_Final  2018\01 Mike Gaffney\Quality\DPV Into Rattle Road\KW07\[Open Defects into Rattle Test Daily KW07D1.xlsx]BY73X - Assembly (PM)'!$I:$I="Paint")+0))/'X:\BY7xx Shared Management Information\5. BY731 Line_Subs_Final  2018\01 Mike Gaffney\Quality\DPV Into Rattle Road\KW07\[Open Defects into Rattle Test Daily KW07D1.xlsx]BY73X - Assembly (PM)'!$C$4</v>
      </c>
      <c r="D10" s="7" t="str">
        <f t="shared" si="4"/>
        <v>=(SUMPRODUCT(('X:\BY7xx Shared Management Information\5. BY731 Line_Subs_Final  2018\01 Mike Gaffney\Quality\DPV Into Rattle Road\KW07\[Open Defects into Rattle Test Daily KW07D1.xlsx]BY73X - Assembly (PM)'!$I:$I="Car Locked")+0))/'X:\BY7xx Shared Management Information\5. BY731 Line_Subs_Final  2018\01 Mike Gaffney\Quality\DPV Into Rattle Road\KW07\[Open Defects into Rattle Test Daily KW07D1.xlsx]BY73X - Assembly (PM)'!$C$4</v>
      </c>
      <c r="E10" s="8" t="e">
        <f t="shared" si="17"/>
        <v>#VALUE!</v>
      </c>
      <c r="F10" s="6" t="str">
        <f t="shared" si="5"/>
        <v>='X:\BY7xx Shared Management Information\5. BY731 Line_Subs_Final  2018\01 Mike Gaffney\Quality\DPV Into Rattle Road\KW07\[Open Defects into Rattle Test Daily KW07D2.xlsx]BY73X - Assembly (PM)'!$C$6</v>
      </c>
      <c r="G10" s="7" t="str">
        <f t="shared" si="6"/>
        <v>=(SUMPRODUCT(('X:\BY7xx Shared Management Information\5. BY731 Line_Subs_Final  2018\01 Mike Gaffney\Quality\DPV Into Rattle Road\KW07\[Open Defects into Rattle Test Daily KW07D2.xlsx]BY73X - Assembly (PM)'!$I:$I="Paintshop")+0)+SUMPRODUCT(('X:\BY7xx Shared Management Information\5. BY731 Line_Subs_Final  2018\01 Mike Gaffney\Quality\DPV Into Rattle Road\KW07\[Open Defects into Rattle Test Daily KW07D2.xlsx]BY73X - Assembly (PM)'!$I:$I="Paint")+0))/'X:\BY7xx Shared Management Information\5. BY731 Line_Subs_Final  2018\01 Mike Gaffney\Quality\DPV Into Rattle Road\KW07\[Open Defects into Rattle Test Daily KW07D2.xlsx]BY73X - Assembly (PM)'!$C$4</v>
      </c>
      <c r="H10" s="7" t="str">
        <f t="shared" si="7"/>
        <v>=(SUMPRODUCT(('X:\BY7xx Shared Management Information\5. BY731 Line_Subs_Final  2018\01 Mike Gaffney\Quality\DPV Into Rattle Road\KW07\[Open Defects into Rattle Test Daily KW07D2.xlsx]BY73X - Assembly (PM)'!$I:$I="Car Locked")+0))/'X:\BY7xx Shared Management Information\5. BY731 Line_Subs_Final  2018\01 Mike Gaffney\Quality\DPV Into Rattle Road\KW07\[Open Defects into Rattle Test Daily KW07D2.xlsx]BY73X - Assembly (PM)'!$C$4</v>
      </c>
      <c r="I10" s="8" t="e">
        <f t="shared" si="18"/>
        <v>#VALUE!</v>
      </c>
      <c r="J10" s="6" t="str">
        <f t="shared" si="8"/>
        <v>='X:\BY7xx Shared Management Information\5. BY731 Line_Subs_Final  2018\01 Mike Gaffney\Quality\DPV Into Rattle Road\KW07\[Open Defects into Rattle Test Daily KW07D3.xlsx]BY73X - Assembly (PM)'!$C$6</v>
      </c>
      <c r="K10" s="7" t="str">
        <f t="shared" si="9"/>
        <v>=(SUMPRODUCT(('X:\BY7xx Shared Management Information\5. BY731 Line_Subs_Final  2018\01 Mike Gaffney\Quality\DPV Into Rattle Road\KW07\[Open Defects into Rattle Test Daily KW07D3.xlsx]BY73X - Assembly (PM)'!$I:$I="Paintshop")+0)+SUMPRODUCT(('X:\BY7xx Shared Management Information\5. BY731 Line_Subs_Final  2018\01 Mike Gaffney\Quality\DPV Into Rattle Road\KW07\[Open Defects into Rattle Test Daily KW07D3.xlsx]BY73X - Assembly (PM)'!$I:$I="Paint")+0))/'X:\BY7xx Shared Management Information\5. BY731 Line_Subs_Final  2018\01 Mike Gaffney\Quality\DPV Into Rattle Road\KW07\[Open Defects into Rattle Test Daily KW07D3.xlsx]BY73X - Assembly (PM)'!$C$4</v>
      </c>
      <c r="L10" s="7" t="str">
        <f t="shared" si="10"/>
        <v>=(SUMPRODUCT(('X:\BY7xx Shared Management Information\5. BY731 Line_Subs_Final  2018\01 Mike Gaffney\Quality\DPV Into Rattle Road\KW07\[Open Defects into Rattle Test Daily KW07D3.xlsx]BY73X - Assembly (PM)'!$I:$I="Car Locked")+0))/'X:\BY7xx Shared Management Information\5. BY731 Line_Subs_Final  2018\01 Mike Gaffney\Quality\DPV Into Rattle Road\KW07\[Open Defects into Rattle Test Daily KW07D3.xlsx]BY73X - Assembly (PM)'!$C$4</v>
      </c>
      <c r="M10" s="8" t="e">
        <f t="shared" si="19"/>
        <v>#VALUE!</v>
      </c>
      <c r="N10" s="6" t="str">
        <f t="shared" si="11"/>
        <v>='X:\BY7xx Shared Management Information\5. BY731 Line_Subs_Final  2018\01 Mike Gaffney\Quality\DPV Into Rattle Road\KW07\[Open Defects into Rattle Test Daily KW07D4.xlsx]BY73X - Assembly (PM)'!$C$6</v>
      </c>
      <c r="O10" s="7" t="str">
        <f t="shared" si="12"/>
        <v>=(SUMPRODUCT(('X:\BY7xx Shared Management Information\5. BY731 Line_Subs_Final  2018\01 Mike Gaffney\Quality\DPV Into Rattle Road\KW07\[Open Defects into Rattle Test Daily KW07D4.xlsx]BY73X - Assembly (PM)'!$I:$I="Paintshop")+0)+SUMPRODUCT(('X:\BY7xx Shared Management Information\5. BY731 Line_Subs_Final  2018\01 Mike Gaffney\Quality\DPV Into Rattle Road\KW07\[Open Defects into Rattle Test Daily KW07D4.xlsx]BY73X - Assembly (PM)'!$I:$I="Paint")+0))/'X:\BY7xx Shared Management Information\5. BY731 Line_Subs_Final  2018\01 Mike Gaffney\Quality\DPV Into Rattle Road\KW07\[Open Defects into Rattle Test Daily KW07D4.xlsx]BY73X - Assembly (PM)'!$C$4</v>
      </c>
      <c r="P10" s="7" t="str">
        <f t="shared" si="13"/>
        <v>=(SUMPRODUCT(('X:\BY7xx Shared Management Information\5. BY731 Line_Subs_Final  2018\01 Mike Gaffney\Quality\DPV Into Rattle Road\KW07\[Open Defects into Rattle Test Daily KW07D4.xlsx]BY73X - Assembly (PM)'!$I:$I="Car Locked")+0))/'X:\BY7xx Shared Management Information\5. BY731 Line_Subs_Final  2018\01 Mike Gaffney\Quality\DPV Into Rattle Road\KW07\[Open Defects into Rattle Test Daily KW07D4.xlsx]BY73X - Assembly (PM)'!$C$4</v>
      </c>
      <c r="Q10" s="8" t="e">
        <f t="shared" si="20"/>
        <v>#VALUE!</v>
      </c>
      <c r="R10" s="6" t="str">
        <f t="shared" si="11"/>
        <v>='X:\BY7xx Shared Management Information\5. BY731 Line_Subs_Final  2018\01 Mike Gaffney\Quality\DPV Into Rattle Road\KW07\[Open Defects into Rattle Test Daily KW07D5.xlsx]BY73X - Assembly (PM)'!$C$6</v>
      </c>
      <c r="S10" s="7" t="str">
        <f t="shared" si="14"/>
        <v>=(SUMPRODUCT(('X:\BY7xx Shared Management Information\5. BY731 Line_Subs_Final  2018\01 Mike Gaffney\Quality\DPV Into Rattle Road\KW07\[Open Defects into Rattle Test Daily KW07D5.xlsx]BY73X - Assembly (PM)'!$I:$I="Paintshop")+0)+SUMPRODUCT(('X:\BY7xx Shared Management Information\5. BY731 Line_Subs_Final  2018\01 Mike Gaffney\Quality\DPV Into Rattle Road\KW07\[Open Defects into Rattle Test Daily KW07D5.xlsx]BY73X - Assembly (PM)'!$I:$I="Paint")+0))/'X:\BY7xx Shared Management Information\5. BY731 Line_Subs_Final  2018\01 Mike Gaffney\Quality\DPV Into Rattle Road\KW07\[Open Defects into Rattle Test Daily KW07D5.xlsx]BY73X - Assembly (PM)'!$C$4</v>
      </c>
      <c r="T10" s="7" t="str">
        <f t="shared" si="15"/>
        <v>=(SUMPRODUCT(('X:\BY7xx Shared Management Information\5. BY731 Line_Subs_Final  2018\01 Mike Gaffney\Quality\DPV Into Rattle Road\KW07\[Open Defects into Rattle Test Daily KW07D5.xlsx]BY73X - Assembly (PM)'!$I:$I="Car Locked")+0))/'X:\BY7xx Shared Management Information\5. BY731 Line_Subs_Final  2018\01 Mike Gaffney\Quality\DPV Into Rattle Road\KW07\[Open Defects into Rattle Test Daily KW07D5.xlsx]BY73X - Assembly (PM)'!$C$4</v>
      </c>
      <c r="U10" s="8" t="e">
        <f t="shared" si="21"/>
        <v>#VALUE!</v>
      </c>
      <c r="V10" t="e">
        <f t="shared" si="22"/>
        <v>#DIV/0!</v>
      </c>
      <c r="W10" t="e">
        <f t="shared" si="23"/>
        <v>#DIV/0!</v>
      </c>
      <c r="X10" t="e">
        <f t="shared" si="24"/>
        <v>#DIV/0!</v>
      </c>
      <c r="Y10" t="e">
        <f t="shared" si="25"/>
        <v>#VALUE!</v>
      </c>
      <c r="Z10" s="3">
        <v>1.57</v>
      </c>
    </row>
    <row r="11" spans="1:26" x14ac:dyDescent="0.2">
      <c r="A11" t="s">
        <v>24</v>
      </c>
      <c r="B11" s="6" t="str">
        <f t="shared" ref="B11:B26" si="26">CONCATENATE("='",$B$1&amp;"\"&amp;$A11&amp;"\["&amp;"Open Defects into Rattle Test Daily "&amp;$A11&amp;B$3&amp;".xlsx]BY73X - Assembly (PM)'!$C$6")</f>
        <v>='X:\BY7xx Shared Management Information\5. BY731 Line_Subs_Final  2018\01 Mike Gaffney\Quality\DPV Into Rattle Road\KW08\[Open Defects into Rattle Test Daily KW08D1.xlsx]BY73X - Assembly (PM)'!$C$6</v>
      </c>
      <c r="C11" s="7" t="str">
        <f>CONCATENATE("=(SUMPRODUCT(('",$B$1&amp;"\"&amp;$A11&amp;"\["&amp;"Open Defects into Rattle Test Daily "&amp;$A11&amp;B$3&amp;".xlsx]BY73X - Assembly (PM)'!$I:$I="&amp;$C$1&amp;")+0)+SUMPRODUCT(('",$B$1&amp;"\"&amp;$A11&amp;"\["&amp;"Open Defects into Rattle Test Daily "&amp;$A11&amp;B$3&amp;".xlsx]BY73X - Assembly (PM)'!$I:$I="&amp;$D$1&amp;")+0))/'",$B$1&amp;"\"&amp;$A11&amp;"\["&amp;"Open Defects into Rattle Test Daily "&amp;$A11&amp;B$3&amp;".xlsx]BY73X - Assembly (PM)'!$C$4")</f>
        <v>=(SUMPRODUCT(('X:\BY7xx Shared Management Information\5. BY731 Line_Subs_Final  2018\01 Mike Gaffney\Quality\DPV Into Rattle Road\KW08\[Open Defects into Rattle Test Daily KW08D1.xlsx]BY73X - Assembly (PM)'!$I:$I="Paintshop")+0)+SUMPRODUCT(('X:\BY7xx Shared Management Information\5. BY731 Line_Subs_Final  2018\01 Mike Gaffney\Quality\DPV Into Rattle Road\KW08\[Open Defects into Rattle Test Daily KW08D1.xlsx]BY73X - Assembly (PM)'!$I:$I="Paint")+0))/'X:\BY7xx Shared Management Information\5. BY731 Line_Subs_Final  2018\01 Mike Gaffney\Quality\DPV Into Rattle Road\KW08\[Open Defects into Rattle Test Daily KW08D1.xlsx]BY73X - Assembly (PM)'!$C$4</v>
      </c>
      <c r="D11" s="7" t="str">
        <f>CONCATENATE("=(SUMPRODUCT(('",$B$1&amp;"\"&amp;$A11&amp;"\["&amp;"Open Defects into Rattle Test Daily "&amp;$A11&amp;B$3&amp;".xlsx]BY73X - Assembly (PM)'!$I:$I="&amp;D$2&amp;")+0))/'",$B$1&amp;"\"&amp;$A11&amp;"\["&amp;"Open Defects into Rattle Test Daily "&amp;$A11&amp;B$3&amp;".xlsx]BY73X - Assembly (PM)'!$C$4")</f>
        <v>=(SUMPRODUCT(('X:\BY7xx Shared Management Information\5. BY731 Line_Subs_Final  2018\01 Mike Gaffney\Quality\DPV Into Rattle Road\KW08\[Open Defects into Rattle Test Daily KW08D1.xlsx]BY73X - Assembly (PM)'!$I:$I="Car Locked")+0))/'X:\BY7xx Shared Management Information\5. BY731 Line_Subs_Final  2018\01 Mike Gaffney\Quality\DPV Into Rattle Road\KW08\[Open Defects into Rattle Test Daily KW08D1.xlsx]BY73X - Assembly (PM)'!$C$4</v>
      </c>
      <c r="E11" s="8" t="e">
        <f t="shared" si="17"/>
        <v>#VALUE!</v>
      </c>
      <c r="F11" s="6" t="str">
        <f t="shared" ref="F11:R26" si="27">CONCATENATE("='",$B$1&amp;"\"&amp;$A11&amp;"\["&amp;"Open Defects into Rattle Test Daily "&amp;$A11&amp;F$3&amp;".xlsx]BY73X - Assembly (PM)'!$C$6")</f>
        <v>='X:\BY7xx Shared Management Information\5. BY731 Line_Subs_Final  2018\01 Mike Gaffney\Quality\DPV Into Rattle Road\KW08\[Open Defects into Rattle Test Daily KW08D2.xlsx]BY73X - Assembly (PM)'!$C$6</v>
      </c>
      <c r="G11" s="7" t="str">
        <f>CONCATENATE("=(SUMPRODUCT(('",$B$1&amp;"\"&amp;$A11&amp;"\["&amp;"Open Defects into Rattle Test Daily "&amp;$A11&amp;F$3&amp;".xlsx]BY73X - Assembly (PM)'!$I:$I="&amp;$C$1&amp;")+0)+SUMPRODUCT(('",$B$1&amp;"\"&amp;$A11&amp;"\["&amp;"Open Defects into Rattle Test Daily "&amp;$A11&amp;F$3&amp;".xlsx]BY73X - Assembly (PM)'!$I:$I="&amp;$D$1&amp;")+0))/'",$B$1&amp;"\"&amp;$A11&amp;"\["&amp;"Open Defects into Rattle Test Daily "&amp;$A11&amp;F$3&amp;".xlsx]BY73X - Assembly (PM)'!$C$4")</f>
        <v>=(SUMPRODUCT(('X:\BY7xx Shared Management Information\5. BY731 Line_Subs_Final  2018\01 Mike Gaffney\Quality\DPV Into Rattle Road\KW08\[Open Defects into Rattle Test Daily KW08D2.xlsx]BY73X - Assembly (PM)'!$I:$I="Paintshop")+0)+SUMPRODUCT(('X:\BY7xx Shared Management Information\5. BY731 Line_Subs_Final  2018\01 Mike Gaffney\Quality\DPV Into Rattle Road\KW08\[Open Defects into Rattle Test Daily KW08D2.xlsx]BY73X - Assembly (PM)'!$I:$I="Paint")+0))/'X:\BY7xx Shared Management Information\5. BY731 Line_Subs_Final  2018\01 Mike Gaffney\Quality\DPV Into Rattle Road\KW08\[Open Defects into Rattle Test Daily KW08D2.xlsx]BY73X - Assembly (PM)'!$C$4</v>
      </c>
      <c r="H11" s="7" t="str">
        <f>CONCATENATE("=(SUMPRODUCT(('",$B$1&amp;"\"&amp;$A11&amp;"\["&amp;"Open Defects into Rattle Test Daily "&amp;$A11&amp;F$3&amp;".xlsx]BY73X - Assembly (PM)'!$I:$I="&amp;H$2&amp;")+0))/'",$B$1&amp;"\"&amp;$A11&amp;"\["&amp;"Open Defects into Rattle Test Daily "&amp;$A11&amp;F$3&amp;".xlsx]BY73X - Assembly (PM)'!$C$4")</f>
        <v>=(SUMPRODUCT(('X:\BY7xx Shared Management Information\5. BY731 Line_Subs_Final  2018\01 Mike Gaffney\Quality\DPV Into Rattle Road\KW08\[Open Defects into Rattle Test Daily KW08D2.xlsx]BY73X - Assembly (PM)'!$I:$I="Car Locked")+0))/'X:\BY7xx Shared Management Information\5. BY731 Line_Subs_Final  2018\01 Mike Gaffney\Quality\DPV Into Rattle Road\KW08\[Open Defects into Rattle Test Daily KW08D2.xlsx]BY73X - Assembly (PM)'!$C$4</v>
      </c>
      <c r="I11" s="8" t="e">
        <f t="shared" si="18"/>
        <v>#VALUE!</v>
      </c>
      <c r="J11" s="6" t="str">
        <f t="shared" si="27"/>
        <v>='X:\BY7xx Shared Management Information\5. BY731 Line_Subs_Final  2018\01 Mike Gaffney\Quality\DPV Into Rattle Road\KW08\[Open Defects into Rattle Test Daily KW08D3.xlsx]BY73X - Assembly (PM)'!$C$6</v>
      </c>
      <c r="K11" s="7" t="str">
        <f>CONCATENATE("=(SUMPRODUCT(('",$B$1&amp;"\"&amp;$A11&amp;"\["&amp;"Open Defects into Rattle Test Daily "&amp;$A11&amp;J$3&amp;".xlsx]BY73X - Assembly (PM)'!$I:$I="&amp;$C$1&amp;")+0)+SUMPRODUCT(('",$B$1&amp;"\"&amp;$A11&amp;"\["&amp;"Open Defects into Rattle Test Daily "&amp;$A11&amp;J$3&amp;".xlsx]BY73X - Assembly (PM)'!$I:$I="&amp;$D$1&amp;")+0))/'",$B$1&amp;"\"&amp;$A11&amp;"\["&amp;"Open Defects into Rattle Test Daily "&amp;$A11&amp;J$3&amp;".xlsx]BY73X - Assembly (PM)'!$C$4")</f>
        <v>=(SUMPRODUCT(('X:\BY7xx Shared Management Information\5. BY731 Line_Subs_Final  2018\01 Mike Gaffney\Quality\DPV Into Rattle Road\KW08\[Open Defects into Rattle Test Daily KW08D3.xlsx]BY73X - Assembly (PM)'!$I:$I="Paintshop")+0)+SUMPRODUCT(('X:\BY7xx Shared Management Information\5. BY731 Line_Subs_Final  2018\01 Mike Gaffney\Quality\DPV Into Rattle Road\KW08\[Open Defects into Rattle Test Daily KW08D3.xlsx]BY73X - Assembly (PM)'!$I:$I="Paint")+0))/'X:\BY7xx Shared Management Information\5. BY731 Line_Subs_Final  2018\01 Mike Gaffney\Quality\DPV Into Rattle Road\KW08\[Open Defects into Rattle Test Daily KW08D3.xlsx]BY73X - Assembly (PM)'!$C$4</v>
      </c>
      <c r="L11" s="7" t="str">
        <f>CONCATENATE("=(SUMPRODUCT(('",$B$1&amp;"\"&amp;$A11&amp;"\["&amp;"Open Defects into Rattle Test Daily "&amp;$A11&amp;J$3&amp;".xlsx]BY73X - Assembly (PM)'!$I:$I="&amp;L$2&amp;")+0))/'",$B$1&amp;"\"&amp;$A11&amp;"\["&amp;"Open Defects into Rattle Test Daily "&amp;$A11&amp;J$3&amp;".xlsx]BY73X - Assembly (PM)'!$C$4")</f>
        <v>=(SUMPRODUCT(('X:\BY7xx Shared Management Information\5. BY731 Line_Subs_Final  2018\01 Mike Gaffney\Quality\DPV Into Rattle Road\KW08\[Open Defects into Rattle Test Daily KW08D3.xlsx]BY73X - Assembly (PM)'!$I:$I="Car Locked")+0))/'X:\BY7xx Shared Management Information\5. BY731 Line_Subs_Final  2018\01 Mike Gaffney\Quality\DPV Into Rattle Road\KW08\[Open Defects into Rattle Test Daily KW08D3.xlsx]BY73X - Assembly (PM)'!$C$4</v>
      </c>
      <c r="M11" s="8" t="e">
        <f t="shared" si="19"/>
        <v>#VALUE!</v>
      </c>
      <c r="N11" s="6" t="str">
        <f t="shared" si="27"/>
        <v>='X:\BY7xx Shared Management Information\5. BY731 Line_Subs_Final  2018\01 Mike Gaffney\Quality\DPV Into Rattle Road\KW08\[Open Defects into Rattle Test Daily KW08D4.xlsx]BY73X - Assembly (PM)'!$C$6</v>
      </c>
      <c r="O11" s="7" t="str">
        <f>CONCATENATE("=(SUMPRODUCT(('",$B$1&amp;"\"&amp;$A11&amp;"\["&amp;"Open Defects into Rattle Test Daily "&amp;$A11&amp;N$3&amp;".xlsx]BY73X - Assembly (PM)'!$I:$I="&amp;$C$1&amp;")+0)+SUMPRODUCT(('",$B$1&amp;"\"&amp;$A11&amp;"\["&amp;"Open Defects into Rattle Test Daily "&amp;$A11&amp;N$3&amp;".xlsx]BY73X - Assembly (PM)'!$I:$I="&amp;$D$1&amp;")+0))/'",$B$1&amp;"\"&amp;$A11&amp;"\["&amp;"Open Defects into Rattle Test Daily "&amp;$A11&amp;N$3&amp;".xlsx]BY73X - Assembly (PM)'!$C$4")</f>
        <v>=(SUMPRODUCT(('X:\BY7xx Shared Management Information\5. BY731 Line_Subs_Final  2018\01 Mike Gaffney\Quality\DPV Into Rattle Road\KW08\[Open Defects into Rattle Test Daily KW08D4.xlsx]BY73X - Assembly (PM)'!$I:$I="Paintshop")+0)+SUMPRODUCT(('X:\BY7xx Shared Management Information\5. BY731 Line_Subs_Final  2018\01 Mike Gaffney\Quality\DPV Into Rattle Road\KW08\[Open Defects into Rattle Test Daily KW08D4.xlsx]BY73X - Assembly (PM)'!$I:$I="Paint")+0))/'X:\BY7xx Shared Management Information\5. BY731 Line_Subs_Final  2018\01 Mike Gaffney\Quality\DPV Into Rattle Road\KW08\[Open Defects into Rattle Test Daily KW08D4.xlsx]BY73X - Assembly (PM)'!$C$4</v>
      </c>
      <c r="P11" s="7" t="str">
        <f>CONCATENATE("=(SUMPRODUCT(('",$B$1&amp;"\"&amp;$A11&amp;"\["&amp;"Open Defects into Rattle Test Daily "&amp;$A11&amp;N$3&amp;".xlsx]BY73X - Assembly (PM)'!$I:$I="&amp;P$2&amp;")+0))/'",$B$1&amp;"\"&amp;$A11&amp;"\["&amp;"Open Defects into Rattle Test Daily "&amp;$A11&amp;N$3&amp;".xlsx]BY73X - Assembly (PM)'!$C$4")</f>
        <v>=(SUMPRODUCT(('X:\BY7xx Shared Management Information\5. BY731 Line_Subs_Final  2018\01 Mike Gaffney\Quality\DPV Into Rattle Road\KW08\[Open Defects into Rattle Test Daily KW08D4.xlsx]BY73X - Assembly (PM)'!$I:$I="Car Locked")+0))/'X:\BY7xx Shared Management Information\5. BY731 Line_Subs_Final  2018\01 Mike Gaffney\Quality\DPV Into Rattle Road\KW08\[Open Defects into Rattle Test Daily KW08D4.xlsx]BY73X - Assembly (PM)'!$C$4</v>
      </c>
      <c r="Q11" s="8" t="e">
        <f t="shared" si="20"/>
        <v>#VALUE!</v>
      </c>
      <c r="R11" s="6" t="str">
        <f t="shared" si="27"/>
        <v>='X:\BY7xx Shared Management Information\5. BY731 Line_Subs_Final  2018\01 Mike Gaffney\Quality\DPV Into Rattle Road\KW08\[Open Defects into Rattle Test Daily KW08D5.xlsx]BY73X - Assembly (PM)'!$C$6</v>
      </c>
      <c r="S11" s="7" t="str">
        <f>CONCATENATE("=(SUMPRODUCT(('",$B$1&amp;"\"&amp;$A11&amp;"\["&amp;"Open Defects into Rattle Test Daily "&amp;$A11&amp;R$3&amp;".xlsx]BY73X - Assembly (PM)'!$I:$I="&amp;$C$1&amp;")+0)+SUMPRODUCT(('",$B$1&amp;"\"&amp;$A11&amp;"\["&amp;"Open Defects into Rattle Test Daily "&amp;$A11&amp;R$3&amp;".xlsx]BY73X - Assembly (PM)'!$I:$I="&amp;$D$1&amp;")+0))/'",$B$1&amp;"\"&amp;$A11&amp;"\["&amp;"Open Defects into Rattle Test Daily "&amp;$A11&amp;R$3&amp;".xlsx]BY73X - Assembly (PM)'!$C$4")</f>
        <v>=(SUMPRODUCT(('X:\BY7xx Shared Management Information\5. BY731 Line_Subs_Final  2018\01 Mike Gaffney\Quality\DPV Into Rattle Road\KW08\[Open Defects into Rattle Test Daily KW08D5.xlsx]BY73X - Assembly (PM)'!$I:$I="Paintshop")+0)+SUMPRODUCT(('X:\BY7xx Shared Management Information\5. BY731 Line_Subs_Final  2018\01 Mike Gaffney\Quality\DPV Into Rattle Road\KW08\[Open Defects into Rattle Test Daily KW08D5.xlsx]BY73X - Assembly (PM)'!$I:$I="Paint")+0))/'X:\BY7xx Shared Management Information\5. BY731 Line_Subs_Final  2018\01 Mike Gaffney\Quality\DPV Into Rattle Road\KW08\[Open Defects into Rattle Test Daily KW08D5.xlsx]BY73X - Assembly (PM)'!$C$4</v>
      </c>
      <c r="T11" s="7" t="str">
        <f>CONCATENATE("=(SUMPRODUCT(('",$B$1&amp;"\"&amp;$A11&amp;"\["&amp;"Open Defects into Rattle Test Daily "&amp;$A11&amp;R$3&amp;".xlsx]BY73X - Assembly (PM)'!$I:$I="&amp;T$2&amp;")+0))/'",$B$1&amp;"\"&amp;$A11&amp;"\["&amp;"Open Defects into Rattle Test Daily "&amp;$A11&amp;R$3&amp;".xlsx]BY73X - Assembly (PM)'!$C$4")</f>
        <v>=(SUMPRODUCT(('X:\BY7xx Shared Management Information\5. BY731 Line_Subs_Final  2018\01 Mike Gaffney\Quality\DPV Into Rattle Road\KW08\[Open Defects into Rattle Test Daily KW08D5.xlsx]BY73X - Assembly (PM)'!$I:$I="Car Locked")+0))/'X:\BY7xx Shared Management Information\5. BY731 Line_Subs_Final  2018\01 Mike Gaffney\Quality\DPV Into Rattle Road\KW08\[Open Defects into Rattle Test Daily KW08D5.xlsx]BY73X - Assembly (PM)'!$C$4</v>
      </c>
      <c r="U11" s="8" t="e">
        <f t="shared" si="21"/>
        <v>#VALUE!</v>
      </c>
      <c r="V11" t="e">
        <f t="shared" si="22"/>
        <v>#DIV/0!</v>
      </c>
      <c r="W11">
        <v>1</v>
      </c>
      <c r="X11">
        <v>0.2</v>
      </c>
      <c r="Y11">
        <v>0.3</v>
      </c>
      <c r="Z11" s="3">
        <v>1.57</v>
      </c>
    </row>
    <row r="12" spans="1:26" x14ac:dyDescent="0.2">
      <c r="A12" t="s">
        <v>25</v>
      </c>
      <c r="B12" s="6" t="str">
        <f t="shared" si="26"/>
        <v>='X:\BY7xx Shared Management Information\5. BY731 Line_Subs_Final  2018\01 Mike Gaffney\Quality\DPV Into Rattle Road\KW09\[Open Defects into Rattle Test Daily KW09D1.xlsx]BY73X - Assembly (PM)'!$C$6</v>
      </c>
      <c r="C12" s="7" t="str">
        <f t="shared" ref="C12:C56" si="28">CONCATENATE("=(SUMPRODUCT(('",$B$1&amp;"\"&amp;$A12&amp;"\["&amp;"Open Defects into Rattle Test Daily "&amp;$A12&amp;B$3&amp;".xlsx]BY73X - Assembly (PM)'!$I:$I="&amp;$C$1&amp;")+0)+SUMPRODUCT(('",$B$1&amp;"\"&amp;$A12&amp;"\["&amp;"Open Defects into Rattle Test Daily "&amp;$A12&amp;B$3&amp;".xlsx]BY73X - Assembly (PM)'!$I:$I="&amp;$D$1&amp;")+0))/'",$B$1&amp;"\"&amp;$A12&amp;"\["&amp;"Open Defects into Rattle Test Daily "&amp;$A12&amp;B$3&amp;".xlsx]BY73X - Assembly (PM)'!$C$4")</f>
        <v>=(SUMPRODUCT(('X:\BY7xx Shared Management Information\5. BY731 Line_Subs_Final  2018\01 Mike Gaffney\Quality\DPV Into Rattle Road\KW09\[Open Defects into Rattle Test Daily KW09D1.xlsx]BY73X - Assembly (PM)'!$I:$I="Paintshop")+0)+SUMPRODUCT(('X:\BY7xx Shared Management Information\5. BY731 Line_Subs_Final  2018\01 Mike Gaffney\Quality\DPV Into Rattle Road\KW09\[Open Defects into Rattle Test Daily KW09D1.xlsx]BY73X - Assembly (PM)'!$I:$I="Paint")+0))/'X:\BY7xx Shared Management Information\5. BY731 Line_Subs_Final  2018\01 Mike Gaffney\Quality\DPV Into Rattle Road\KW09\[Open Defects into Rattle Test Daily KW09D1.xlsx]BY73X - Assembly (PM)'!$C$4</v>
      </c>
      <c r="D12" s="7" t="str">
        <f t="shared" ref="D12:D56" si="29">CONCATENATE("=(SUMPRODUCT(('",$B$1&amp;"\"&amp;$A12&amp;"\["&amp;"Open Defects into Rattle Test Daily "&amp;$A12&amp;B$3&amp;".xlsx]BY73X - Assembly (PM)'!$I:$I="&amp;D$2&amp;")+0))/'",$B$1&amp;"\"&amp;$A12&amp;"\["&amp;"Open Defects into Rattle Test Daily "&amp;$A12&amp;B$3&amp;".xlsx]BY73X - Assembly (PM)'!$C$4")</f>
        <v>=(SUMPRODUCT(('X:\BY7xx Shared Management Information\5. BY731 Line_Subs_Final  2018\01 Mike Gaffney\Quality\DPV Into Rattle Road\KW09\[Open Defects into Rattle Test Daily KW09D1.xlsx]BY73X - Assembly (PM)'!$I:$I="Car Locked")+0))/'X:\BY7xx Shared Management Information\5. BY731 Line_Subs_Final  2018\01 Mike Gaffney\Quality\DPV Into Rattle Road\KW09\[Open Defects into Rattle Test Daily KW09D1.xlsx]BY73X - Assembly (PM)'!$C$4</v>
      </c>
      <c r="E12" s="8" t="e">
        <f t="shared" si="17"/>
        <v>#VALUE!</v>
      </c>
      <c r="F12" s="6" t="str">
        <f t="shared" si="27"/>
        <v>='X:\BY7xx Shared Management Information\5. BY731 Line_Subs_Final  2018\01 Mike Gaffney\Quality\DPV Into Rattle Road\KW09\[Open Defects into Rattle Test Daily KW09D2.xlsx]BY73X - Assembly (PM)'!$C$6</v>
      </c>
      <c r="G12" s="7" t="str">
        <f t="shared" ref="G12:G56" si="30">CONCATENATE("=(SUMPRODUCT(('",$B$1&amp;"\"&amp;$A12&amp;"\["&amp;"Open Defects into Rattle Test Daily "&amp;$A12&amp;F$3&amp;".xlsx]BY73X - Assembly (PM)'!$I:$I="&amp;$C$1&amp;")+0)+SUMPRODUCT(('",$B$1&amp;"\"&amp;$A12&amp;"\["&amp;"Open Defects into Rattle Test Daily "&amp;$A12&amp;F$3&amp;".xlsx]BY73X - Assembly (PM)'!$I:$I="&amp;$D$1&amp;")+0))/'",$B$1&amp;"\"&amp;$A12&amp;"\["&amp;"Open Defects into Rattle Test Daily "&amp;$A12&amp;F$3&amp;".xlsx]BY73X - Assembly (PM)'!$C$4")</f>
        <v>=(SUMPRODUCT(('X:\BY7xx Shared Management Information\5. BY731 Line_Subs_Final  2018\01 Mike Gaffney\Quality\DPV Into Rattle Road\KW09\[Open Defects into Rattle Test Daily KW09D2.xlsx]BY73X - Assembly (PM)'!$I:$I="Paintshop")+0)+SUMPRODUCT(('X:\BY7xx Shared Management Information\5. BY731 Line_Subs_Final  2018\01 Mike Gaffney\Quality\DPV Into Rattle Road\KW09\[Open Defects into Rattle Test Daily KW09D2.xlsx]BY73X - Assembly (PM)'!$I:$I="Paint")+0))/'X:\BY7xx Shared Management Information\5. BY731 Line_Subs_Final  2018\01 Mike Gaffney\Quality\DPV Into Rattle Road\KW09\[Open Defects into Rattle Test Daily KW09D2.xlsx]BY73X - Assembly (PM)'!$C$4</v>
      </c>
      <c r="H12" s="7" t="str">
        <f t="shared" ref="H12:H56" si="31">CONCATENATE("=(SUMPRODUCT(('",$B$1&amp;"\"&amp;$A12&amp;"\["&amp;"Open Defects into Rattle Test Daily "&amp;$A12&amp;F$3&amp;".xlsx]BY73X - Assembly (PM)'!$I:$I="&amp;H$2&amp;")+0))/'",$B$1&amp;"\"&amp;$A12&amp;"\["&amp;"Open Defects into Rattle Test Daily "&amp;$A12&amp;F$3&amp;".xlsx]BY73X - Assembly (PM)'!$C$4")</f>
        <v>=(SUMPRODUCT(('X:\BY7xx Shared Management Information\5. BY731 Line_Subs_Final  2018\01 Mike Gaffney\Quality\DPV Into Rattle Road\KW09\[Open Defects into Rattle Test Daily KW09D2.xlsx]BY73X - Assembly (PM)'!$I:$I="Car Locked")+0))/'X:\BY7xx Shared Management Information\5. BY731 Line_Subs_Final  2018\01 Mike Gaffney\Quality\DPV Into Rattle Road\KW09\[Open Defects into Rattle Test Daily KW09D2.xlsx]BY73X - Assembly (PM)'!$C$4</v>
      </c>
      <c r="I12" s="8" t="e">
        <f t="shared" si="18"/>
        <v>#VALUE!</v>
      </c>
      <c r="J12" s="6" t="str">
        <f t="shared" si="27"/>
        <v>='X:\BY7xx Shared Management Information\5. BY731 Line_Subs_Final  2018\01 Mike Gaffney\Quality\DPV Into Rattle Road\KW09\[Open Defects into Rattle Test Daily KW09D3.xlsx]BY73X - Assembly (PM)'!$C$6</v>
      </c>
      <c r="K12" s="7" t="str">
        <f t="shared" ref="K12:K56" si="32">CONCATENATE("=(SUMPRODUCT(('",$B$1&amp;"\"&amp;$A12&amp;"\["&amp;"Open Defects into Rattle Test Daily "&amp;$A12&amp;J$3&amp;".xlsx]BY73X - Assembly (PM)'!$I:$I="&amp;$C$1&amp;")+0)+SUMPRODUCT(('",$B$1&amp;"\"&amp;$A12&amp;"\["&amp;"Open Defects into Rattle Test Daily "&amp;$A12&amp;J$3&amp;".xlsx]BY73X - Assembly (PM)'!$I:$I="&amp;$D$1&amp;")+0))/'",$B$1&amp;"\"&amp;$A12&amp;"\["&amp;"Open Defects into Rattle Test Daily "&amp;$A12&amp;J$3&amp;".xlsx]BY73X - Assembly (PM)'!$C$4")</f>
        <v>=(SUMPRODUCT(('X:\BY7xx Shared Management Information\5. BY731 Line_Subs_Final  2018\01 Mike Gaffney\Quality\DPV Into Rattle Road\KW09\[Open Defects into Rattle Test Daily KW09D3.xlsx]BY73X - Assembly (PM)'!$I:$I="Paintshop")+0)+SUMPRODUCT(('X:\BY7xx Shared Management Information\5. BY731 Line_Subs_Final  2018\01 Mike Gaffney\Quality\DPV Into Rattle Road\KW09\[Open Defects into Rattle Test Daily KW09D3.xlsx]BY73X - Assembly (PM)'!$I:$I="Paint")+0))/'X:\BY7xx Shared Management Information\5. BY731 Line_Subs_Final  2018\01 Mike Gaffney\Quality\DPV Into Rattle Road\KW09\[Open Defects into Rattle Test Daily KW09D3.xlsx]BY73X - Assembly (PM)'!$C$4</v>
      </c>
      <c r="L12" s="7" t="str">
        <f t="shared" ref="L12:L56" si="33">CONCATENATE("=(SUMPRODUCT(('",$B$1&amp;"\"&amp;$A12&amp;"\["&amp;"Open Defects into Rattle Test Daily "&amp;$A12&amp;J$3&amp;".xlsx]BY73X - Assembly (PM)'!$I:$I="&amp;L$2&amp;")+0))/'",$B$1&amp;"\"&amp;$A12&amp;"\["&amp;"Open Defects into Rattle Test Daily "&amp;$A12&amp;J$3&amp;".xlsx]BY73X - Assembly (PM)'!$C$4")</f>
        <v>=(SUMPRODUCT(('X:\BY7xx Shared Management Information\5. BY731 Line_Subs_Final  2018\01 Mike Gaffney\Quality\DPV Into Rattle Road\KW09\[Open Defects into Rattle Test Daily KW09D3.xlsx]BY73X - Assembly (PM)'!$I:$I="Car Locked")+0))/'X:\BY7xx Shared Management Information\5. BY731 Line_Subs_Final  2018\01 Mike Gaffney\Quality\DPV Into Rattle Road\KW09\[Open Defects into Rattle Test Daily KW09D3.xlsx]BY73X - Assembly (PM)'!$C$4</v>
      </c>
      <c r="M12" s="8" t="e">
        <f t="shared" si="19"/>
        <v>#VALUE!</v>
      </c>
      <c r="N12" s="6" t="str">
        <f t="shared" si="27"/>
        <v>='X:\BY7xx Shared Management Information\5. BY731 Line_Subs_Final  2018\01 Mike Gaffney\Quality\DPV Into Rattle Road\KW09\[Open Defects into Rattle Test Daily KW09D4.xlsx]BY73X - Assembly (PM)'!$C$6</v>
      </c>
      <c r="O12" s="7" t="str">
        <f t="shared" ref="O12:O56" si="34">CONCATENATE("=(SUMPRODUCT(('",$B$1&amp;"\"&amp;$A12&amp;"\["&amp;"Open Defects into Rattle Test Daily "&amp;$A12&amp;N$3&amp;".xlsx]BY73X - Assembly (PM)'!$I:$I="&amp;$C$1&amp;")+0)+SUMPRODUCT(('",$B$1&amp;"\"&amp;$A12&amp;"\["&amp;"Open Defects into Rattle Test Daily "&amp;$A12&amp;N$3&amp;".xlsx]BY73X - Assembly (PM)'!$I:$I="&amp;$D$1&amp;")+0))/'",$B$1&amp;"\"&amp;$A12&amp;"\["&amp;"Open Defects into Rattle Test Daily "&amp;$A12&amp;N$3&amp;".xlsx]BY73X - Assembly (PM)'!$C$4")</f>
        <v>=(SUMPRODUCT(('X:\BY7xx Shared Management Information\5. BY731 Line_Subs_Final  2018\01 Mike Gaffney\Quality\DPV Into Rattle Road\KW09\[Open Defects into Rattle Test Daily KW09D4.xlsx]BY73X - Assembly (PM)'!$I:$I="Paintshop")+0)+SUMPRODUCT(('X:\BY7xx Shared Management Information\5. BY731 Line_Subs_Final  2018\01 Mike Gaffney\Quality\DPV Into Rattle Road\KW09\[Open Defects into Rattle Test Daily KW09D4.xlsx]BY73X - Assembly (PM)'!$I:$I="Paint")+0))/'X:\BY7xx Shared Management Information\5. BY731 Line_Subs_Final  2018\01 Mike Gaffney\Quality\DPV Into Rattle Road\KW09\[Open Defects into Rattle Test Daily KW09D4.xlsx]BY73X - Assembly (PM)'!$C$4</v>
      </c>
      <c r="P12" s="7" t="str">
        <f t="shared" ref="P12:P56" si="35">CONCATENATE("=(SUMPRODUCT(('",$B$1&amp;"\"&amp;$A12&amp;"\["&amp;"Open Defects into Rattle Test Daily "&amp;$A12&amp;N$3&amp;".xlsx]BY73X - Assembly (PM)'!$I:$I="&amp;P$2&amp;")+0))/'",$B$1&amp;"\"&amp;$A12&amp;"\["&amp;"Open Defects into Rattle Test Daily "&amp;$A12&amp;N$3&amp;".xlsx]BY73X - Assembly (PM)'!$C$4")</f>
        <v>=(SUMPRODUCT(('X:\BY7xx Shared Management Information\5. BY731 Line_Subs_Final  2018\01 Mike Gaffney\Quality\DPV Into Rattle Road\KW09\[Open Defects into Rattle Test Daily KW09D4.xlsx]BY73X - Assembly (PM)'!$I:$I="Car Locked")+0))/'X:\BY7xx Shared Management Information\5. BY731 Line_Subs_Final  2018\01 Mike Gaffney\Quality\DPV Into Rattle Road\KW09\[Open Defects into Rattle Test Daily KW09D4.xlsx]BY73X - Assembly (PM)'!$C$4</v>
      </c>
      <c r="Q12" s="8" t="e">
        <f t="shared" si="20"/>
        <v>#VALUE!</v>
      </c>
      <c r="R12" s="6" t="str">
        <f t="shared" si="27"/>
        <v>='X:\BY7xx Shared Management Information\5. BY731 Line_Subs_Final  2018\01 Mike Gaffney\Quality\DPV Into Rattle Road\KW09\[Open Defects into Rattle Test Daily KW09D5.xlsx]BY73X - Assembly (PM)'!$C$6</v>
      </c>
      <c r="S12" s="7" t="str">
        <f t="shared" ref="S12:S56" si="36">CONCATENATE("=(SUMPRODUCT(('",$B$1&amp;"\"&amp;$A12&amp;"\["&amp;"Open Defects into Rattle Test Daily "&amp;$A12&amp;R$3&amp;".xlsx]BY73X - Assembly (PM)'!$I:$I="&amp;$C$1&amp;")+0)+SUMPRODUCT(('",$B$1&amp;"\"&amp;$A12&amp;"\["&amp;"Open Defects into Rattle Test Daily "&amp;$A12&amp;R$3&amp;".xlsx]BY73X - Assembly (PM)'!$I:$I="&amp;$D$1&amp;")+0))/'",$B$1&amp;"\"&amp;$A12&amp;"\["&amp;"Open Defects into Rattle Test Daily "&amp;$A12&amp;R$3&amp;".xlsx]BY73X - Assembly (PM)'!$C$4")</f>
        <v>=(SUMPRODUCT(('X:\BY7xx Shared Management Information\5. BY731 Line_Subs_Final  2018\01 Mike Gaffney\Quality\DPV Into Rattle Road\KW09\[Open Defects into Rattle Test Daily KW09D5.xlsx]BY73X - Assembly (PM)'!$I:$I="Paintshop")+0)+SUMPRODUCT(('X:\BY7xx Shared Management Information\5. BY731 Line_Subs_Final  2018\01 Mike Gaffney\Quality\DPV Into Rattle Road\KW09\[Open Defects into Rattle Test Daily KW09D5.xlsx]BY73X - Assembly (PM)'!$I:$I="Paint")+0))/'X:\BY7xx Shared Management Information\5. BY731 Line_Subs_Final  2018\01 Mike Gaffney\Quality\DPV Into Rattle Road\KW09\[Open Defects into Rattle Test Daily KW09D5.xlsx]BY73X - Assembly (PM)'!$C$4</v>
      </c>
      <c r="T12" s="7" t="str">
        <f t="shared" ref="T12:T56" si="37">CONCATENATE("=(SUMPRODUCT(('",$B$1&amp;"\"&amp;$A12&amp;"\["&amp;"Open Defects into Rattle Test Daily "&amp;$A12&amp;R$3&amp;".xlsx]BY73X - Assembly (PM)'!$I:$I="&amp;T$2&amp;")+0))/'",$B$1&amp;"\"&amp;$A12&amp;"\["&amp;"Open Defects into Rattle Test Daily "&amp;$A12&amp;R$3&amp;".xlsx]BY73X - Assembly (PM)'!$C$4")</f>
        <v>=(SUMPRODUCT(('X:\BY7xx Shared Management Information\5. BY731 Line_Subs_Final  2018\01 Mike Gaffney\Quality\DPV Into Rattle Road\KW09\[Open Defects into Rattle Test Daily KW09D5.xlsx]BY73X - Assembly (PM)'!$I:$I="Car Locked")+0))/'X:\BY7xx Shared Management Information\5. BY731 Line_Subs_Final  2018\01 Mike Gaffney\Quality\DPV Into Rattle Road\KW09\[Open Defects into Rattle Test Daily KW09D5.xlsx]BY73X - Assembly (PM)'!$C$4</v>
      </c>
      <c r="U12" s="8" t="e">
        <f t="shared" si="21"/>
        <v>#VALUE!</v>
      </c>
      <c r="V12" t="e">
        <f t="shared" si="22"/>
        <v>#DIV/0!</v>
      </c>
      <c r="W12">
        <v>1</v>
      </c>
      <c r="X12">
        <v>0.2</v>
      </c>
      <c r="Y12">
        <v>0.3</v>
      </c>
      <c r="Z12" s="3">
        <v>1.57</v>
      </c>
    </row>
    <row r="13" spans="1:26" x14ac:dyDescent="0.2">
      <c r="A13" t="s">
        <v>0</v>
      </c>
      <c r="B13" s="6" t="str">
        <f t="shared" si="26"/>
        <v>='X:\BY7xx Shared Management Information\5. BY731 Line_Subs_Final  2018\01 Mike Gaffney\Quality\DPV Into Rattle Road\KW10\[Open Defects into Rattle Test Daily KW10D1.xlsx]BY73X - Assembly (PM)'!$C$6</v>
      </c>
      <c r="C13" s="7" t="str">
        <f t="shared" si="28"/>
        <v>=(SUMPRODUCT(('X:\BY7xx Shared Management Information\5. BY731 Line_Subs_Final  2018\01 Mike Gaffney\Quality\DPV Into Rattle Road\KW10\[Open Defects into Rattle Test Daily KW10D1.xlsx]BY73X - Assembly (PM)'!$I:$I="Paintshop")+0)+SUMPRODUCT(('X:\BY7xx Shared Management Information\5. BY731 Line_Subs_Final  2018\01 Mike Gaffney\Quality\DPV Into Rattle Road\KW10\[Open Defects into Rattle Test Daily KW10D1.xlsx]BY73X - Assembly (PM)'!$I:$I="Paint")+0))/'X:\BY7xx Shared Management Information\5. BY731 Line_Subs_Final  2018\01 Mike Gaffney\Quality\DPV Into Rattle Road\KW10\[Open Defects into Rattle Test Daily KW10D1.xlsx]BY73X - Assembly (PM)'!$C$4</v>
      </c>
      <c r="D13" s="7" t="str">
        <f t="shared" si="29"/>
        <v>=(SUMPRODUCT(('X:\BY7xx Shared Management Information\5. BY731 Line_Subs_Final  2018\01 Mike Gaffney\Quality\DPV Into Rattle Road\KW10\[Open Defects into Rattle Test Daily KW10D1.xlsx]BY73X - Assembly (PM)'!$I:$I="Car Locked")+0))/'X:\BY7xx Shared Management Information\5. BY731 Line_Subs_Final  2018\01 Mike Gaffney\Quality\DPV Into Rattle Road\KW10\[Open Defects into Rattle Test Daily KW10D1.xlsx]BY73X - Assembly (PM)'!$C$4</v>
      </c>
      <c r="E13" s="8" t="e">
        <f t="shared" si="17"/>
        <v>#VALUE!</v>
      </c>
      <c r="F13" s="6" t="str">
        <f t="shared" si="27"/>
        <v>='X:\BY7xx Shared Management Information\5. BY731 Line_Subs_Final  2018\01 Mike Gaffney\Quality\DPV Into Rattle Road\KW10\[Open Defects into Rattle Test Daily KW10D2.xlsx]BY73X - Assembly (PM)'!$C$6</v>
      </c>
      <c r="G13" s="7" t="str">
        <f t="shared" si="30"/>
        <v>=(SUMPRODUCT(('X:\BY7xx Shared Management Information\5. BY731 Line_Subs_Final  2018\01 Mike Gaffney\Quality\DPV Into Rattle Road\KW10\[Open Defects into Rattle Test Daily KW10D2.xlsx]BY73X - Assembly (PM)'!$I:$I="Paintshop")+0)+SUMPRODUCT(('X:\BY7xx Shared Management Information\5. BY731 Line_Subs_Final  2018\01 Mike Gaffney\Quality\DPV Into Rattle Road\KW10\[Open Defects into Rattle Test Daily KW10D2.xlsx]BY73X - Assembly (PM)'!$I:$I="Paint")+0))/'X:\BY7xx Shared Management Information\5. BY731 Line_Subs_Final  2018\01 Mike Gaffney\Quality\DPV Into Rattle Road\KW10\[Open Defects into Rattle Test Daily KW10D2.xlsx]BY73X - Assembly (PM)'!$C$4</v>
      </c>
      <c r="H13" s="7" t="str">
        <f t="shared" si="31"/>
        <v>=(SUMPRODUCT(('X:\BY7xx Shared Management Information\5. BY731 Line_Subs_Final  2018\01 Mike Gaffney\Quality\DPV Into Rattle Road\KW10\[Open Defects into Rattle Test Daily KW10D2.xlsx]BY73X - Assembly (PM)'!$I:$I="Car Locked")+0))/'X:\BY7xx Shared Management Information\5. BY731 Line_Subs_Final  2018\01 Mike Gaffney\Quality\DPV Into Rattle Road\KW10\[Open Defects into Rattle Test Daily KW10D2.xlsx]BY73X - Assembly (PM)'!$C$4</v>
      </c>
      <c r="I13" s="8" t="e">
        <f t="shared" si="18"/>
        <v>#VALUE!</v>
      </c>
      <c r="J13" s="6" t="str">
        <f t="shared" si="27"/>
        <v>='X:\BY7xx Shared Management Information\5. BY731 Line_Subs_Final  2018\01 Mike Gaffney\Quality\DPV Into Rattle Road\KW10\[Open Defects into Rattle Test Daily KW10D3.xlsx]BY73X - Assembly (PM)'!$C$6</v>
      </c>
      <c r="K13" s="7" t="str">
        <f t="shared" si="32"/>
        <v>=(SUMPRODUCT(('X:\BY7xx Shared Management Information\5. BY731 Line_Subs_Final  2018\01 Mike Gaffney\Quality\DPV Into Rattle Road\KW10\[Open Defects into Rattle Test Daily KW10D3.xlsx]BY73X - Assembly (PM)'!$I:$I="Paintshop")+0)+SUMPRODUCT(('X:\BY7xx Shared Management Information\5. BY731 Line_Subs_Final  2018\01 Mike Gaffney\Quality\DPV Into Rattle Road\KW10\[Open Defects into Rattle Test Daily KW10D3.xlsx]BY73X - Assembly (PM)'!$I:$I="Paint")+0))/'X:\BY7xx Shared Management Information\5. BY731 Line_Subs_Final  2018\01 Mike Gaffney\Quality\DPV Into Rattle Road\KW10\[Open Defects into Rattle Test Daily KW10D3.xlsx]BY73X - Assembly (PM)'!$C$4</v>
      </c>
      <c r="L13" s="7" t="str">
        <f t="shared" si="33"/>
        <v>=(SUMPRODUCT(('X:\BY7xx Shared Management Information\5. BY731 Line_Subs_Final  2018\01 Mike Gaffney\Quality\DPV Into Rattle Road\KW10\[Open Defects into Rattle Test Daily KW10D3.xlsx]BY73X - Assembly (PM)'!$I:$I="Car Locked")+0))/'X:\BY7xx Shared Management Information\5. BY731 Line_Subs_Final  2018\01 Mike Gaffney\Quality\DPV Into Rattle Road\KW10\[Open Defects into Rattle Test Daily KW10D3.xlsx]BY73X - Assembly (PM)'!$C$4</v>
      </c>
      <c r="M13" s="8" t="e">
        <f t="shared" si="19"/>
        <v>#VALUE!</v>
      </c>
      <c r="N13" s="6" t="str">
        <f t="shared" si="27"/>
        <v>='X:\BY7xx Shared Management Information\5. BY731 Line_Subs_Final  2018\01 Mike Gaffney\Quality\DPV Into Rattle Road\KW10\[Open Defects into Rattle Test Daily KW10D4.xlsx]BY73X - Assembly (PM)'!$C$6</v>
      </c>
      <c r="O13" s="7" t="str">
        <f t="shared" si="34"/>
        <v>=(SUMPRODUCT(('X:\BY7xx Shared Management Information\5. BY731 Line_Subs_Final  2018\01 Mike Gaffney\Quality\DPV Into Rattle Road\KW10\[Open Defects into Rattle Test Daily KW10D4.xlsx]BY73X - Assembly (PM)'!$I:$I="Paintshop")+0)+SUMPRODUCT(('X:\BY7xx Shared Management Information\5. BY731 Line_Subs_Final  2018\01 Mike Gaffney\Quality\DPV Into Rattle Road\KW10\[Open Defects into Rattle Test Daily KW10D4.xlsx]BY73X - Assembly (PM)'!$I:$I="Paint")+0))/'X:\BY7xx Shared Management Information\5. BY731 Line_Subs_Final  2018\01 Mike Gaffney\Quality\DPV Into Rattle Road\KW10\[Open Defects into Rattle Test Daily KW10D4.xlsx]BY73X - Assembly (PM)'!$C$4</v>
      </c>
      <c r="P13" s="7" t="str">
        <f t="shared" si="35"/>
        <v>=(SUMPRODUCT(('X:\BY7xx Shared Management Information\5. BY731 Line_Subs_Final  2018\01 Mike Gaffney\Quality\DPV Into Rattle Road\KW10\[Open Defects into Rattle Test Daily KW10D4.xlsx]BY73X - Assembly (PM)'!$I:$I="Car Locked")+0))/'X:\BY7xx Shared Management Information\5. BY731 Line_Subs_Final  2018\01 Mike Gaffney\Quality\DPV Into Rattle Road\KW10\[Open Defects into Rattle Test Daily KW10D4.xlsx]BY73X - Assembly (PM)'!$C$4</v>
      </c>
      <c r="Q13" s="8" t="e">
        <f t="shared" si="20"/>
        <v>#VALUE!</v>
      </c>
      <c r="R13" s="6" t="str">
        <f t="shared" si="27"/>
        <v>='X:\BY7xx Shared Management Information\5. BY731 Line_Subs_Final  2018\01 Mike Gaffney\Quality\DPV Into Rattle Road\KW10\[Open Defects into Rattle Test Daily KW10D5.xlsx]BY73X - Assembly (PM)'!$C$6</v>
      </c>
      <c r="S13" s="7" t="str">
        <f t="shared" si="36"/>
        <v>=(SUMPRODUCT(('X:\BY7xx Shared Management Information\5. BY731 Line_Subs_Final  2018\01 Mike Gaffney\Quality\DPV Into Rattle Road\KW10\[Open Defects into Rattle Test Daily KW10D5.xlsx]BY73X - Assembly (PM)'!$I:$I="Paintshop")+0)+SUMPRODUCT(('X:\BY7xx Shared Management Information\5. BY731 Line_Subs_Final  2018\01 Mike Gaffney\Quality\DPV Into Rattle Road\KW10\[Open Defects into Rattle Test Daily KW10D5.xlsx]BY73X - Assembly (PM)'!$I:$I="Paint")+0))/'X:\BY7xx Shared Management Information\5. BY731 Line_Subs_Final  2018\01 Mike Gaffney\Quality\DPV Into Rattle Road\KW10\[Open Defects into Rattle Test Daily KW10D5.xlsx]BY73X - Assembly (PM)'!$C$4</v>
      </c>
      <c r="T13" s="7" t="str">
        <f t="shared" si="37"/>
        <v>=(SUMPRODUCT(('X:\BY7xx Shared Management Information\5. BY731 Line_Subs_Final  2018\01 Mike Gaffney\Quality\DPV Into Rattle Road\KW10\[Open Defects into Rattle Test Daily KW10D5.xlsx]BY73X - Assembly (PM)'!$I:$I="Car Locked")+0))/'X:\BY7xx Shared Management Information\5. BY731 Line_Subs_Final  2018\01 Mike Gaffney\Quality\DPV Into Rattle Road\KW10\[Open Defects into Rattle Test Daily KW10D5.xlsx]BY73X - Assembly (PM)'!$C$4</v>
      </c>
      <c r="U13" s="8" t="e">
        <f t="shared" si="21"/>
        <v>#VALUE!</v>
      </c>
      <c r="V13" t="e">
        <f t="shared" si="22"/>
        <v>#DIV/0!</v>
      </c>
      <c r="W13">
        <v>1</v>
      </c>
      <c r="X13">
        <v>0.2</v>
      </c>
      <c r="Y13">
        <v>0.3</v>
      </c>
      <c r="Z13" s="3">
        <v>1.57</v>
      </c>
    </row>
    <row r="14" spans="1:26" x14ac:dyDescent="0.2">
      <c r="A14" t="s">
        <v>1</v>
      </c>
      <c r="B14" s="6" t="str">
        <f t="shared" si="26"/>
        <v>='X:\BY7xx Shared Management Information\5. BY731 Line_Subs_Final  2018\01 Mike Gaffney\Quality\DPV Into Rattle Road\KW11\[Open Defects into Rattle Test Daily KW11D1.xlsx]BY73X - Assembly (PM)'!$C$6</v>
      </c>
      <c r="C14" s="7" t="str">
        <f t="shared" si="28"/>
        <v>=(SUMPRODUCT(('X:\BY7xx Shared Management Information\5. BY731 Line_Subs_Final  2018\01 Mike Gaffney\Quality\DPV Into Rattle Road\KW11\[Open Defects into Rattle Test Daily KW11D1.xlsx]BY73X - Assembly (PM)'!$I:$I="Paintshop")+0)+SUMPRODUCT(('X:\BY7xx Shared Management Information\5. BY731 Line_Subs_Final  2018\01 Mike Gaffney\Quality\DPV Into Rattle Road\KW11\[Open Defects into Rattle Test Daily KW11D1.xlsx]BY73X - Assembly (PM)'!$I:$I="Paint")+0))/'X:\BY7xx Shared Management Information\5. BY731 Line_Subs_Final  2018\01 Mike Gaffney\Quality\DPV Into Rattle Road\KW11\[Open Defects into Rattle Test Daily KW11D1.xlsx]BY73X - Assembly (PM)'!$C$4</v>
      </c>
      <c r="D14" s="7" t="str">
        <f t="shared" si="29"/>
        <v>=(SUMPRODUCT(('X:\BY7xx Shared Management Information\5. BY731 Line_Subs_Final  2018\01 Mike Gaffney\Quality\DPV Into Rattle Road\KW11\[Open Defects into Rattle Test Daily KW11D1.xlsx]BY73X - Assembly (PM)'!$I:$I="Car Locked")+0))/'X:\BY7xx Shared Management Information\5. BY731 Line_Subs_Final  2018\01 Mike Gaffney\Quality\DPV Into Rattle Road\KW11\[Open Defects into Rattle Test Daily KW11D1.xlsx]BY73X - Assembly (PM)'!$C$4</v>
      </c>
      <c r="E14" s="8" t="e">
        <f t="shared" si="17"/>
        <v>#VALUE!</v>
      </c>
      <c r="F14" s="6" t="str">
        <f t="shared" si="27"/>
        <v>='X:\BY7xx Shared Management Information\5. BY731 Line_Subs_Final  2018\01 Mike Gaffney\Quality\DPV Into Rattle Road\KW11\[Open Defects into Rattle Test Daily KW11D2.xlsx]BY73X - Assembly (PM)'!$C$6</v>
      </c>
      <c r="G14" s="7" t="str">
        <f t="shared" si="30"/>
        <v>=(SUMPRODUCT(('X:\BY7xx Shared Management Information\5. BY731 Line_Subs_Final  2018\01 Mike Gaffney\Quality\DPV Into Rattle Road\KW11\[Open Defects into Rattle Test Daily KW11D2.xlsx]BY73X - Assembly (PM)'!$I:$I="Paintshop")+0)+SUMPRODUCT(('X:\BY7xx Shared Management Information\5. BY731 Line_Subs_Final  2018\01 Mike Gaffney\Quality\DPV Into Rattle Road\KW11\[Open Defects into Rattle Test Daily KW11D2.xlsx]BY73X - Assembly (PM)'!$I:$I="Paint")+0))/'X:\BY7xx Shared Management Information\5. BY731 Line_Subs_Final  2018\01 Mike Gaffney\Quality\DPV Into Rattle Road\KW11\[Open Defects into Rattle Test Daily KW11D2.xlsx]BY73X - Assembly (PM)'!$C$4</v>
      </c>
      <c r="H14" s="7" t="str">
        <f t="shared" si="31"/>
        <v>=(SUMPRODUCT(('X:\BY7xx Shared Management Information\5. BY731 Line_Subs_Final  2018\01 Mike Gaffney\Quality\DPV Into Rattle Road\KW11\[Open Defects into Rattle Test Daily KW11D2.xlsx]BY73X - Assembly (PM)'!$I:$I="Car Locked")+0))/'X:\BY7xx Shared Management Information\5. BY731 Line_Subs_Final  2018\01 Mike Gaffney\Quality\DPV Into Rattle Road\KW11\[Open Defects into Rattle Test Daily KW11D2.xlsx]BY73X - Assembly (PM)'!$C$4</v>
      </c>
      <c r="I14" s="8" t="e">
        <f t="shared" si="18"/>
        <v>#VALUE!</v>
      </c>
      <c r="J14" s="6" t="str">
        <f t="shared" si="27"/>
        <v>='X:\BY7xx Shared Management Information\5. BY731 Line_Subs_Final  2018\01 Mike Gaffney\Quality\DPV Into Rattle Road\KW11\[Open Defects into Rattle Test Daily KW11D3.xlsx]BY73X - Assembly (PM)'!$C$6</v>
      </c>
      <c r="K14" s="7" t="str">
        <f t="shared" si="32"/>
        <v>=(SUMPRODUCT(('X:\BY7xx Shared Management Information\5. BY731 Line_Subs_Final  2018\01 Mike Gaffney\Quality\DPV Into Rattle Road\KW11\[Open Defects into Rattle Test Daily KW11D3.xlsx]BY73X - Assembly (PM)'!$I:$I="Paintshop")+0)+SUMPRODUCT(('X:\BY7xx Shared Management Information\5. BY731 Line_Subs_Final  2018\01 Mike Gaffney\Quality\DPV Into Rattle Road\KW11\[Open Defects into Rattle Test Daily KW11D3.xlsx]BY73X - Assembly (PM)'!$I:$I="Paint")+0))/'X:\BY7xx Shared Management Information\5. BY731 Line_Subs_Final  2018\01 Mike Gaffney\Quality\DPV Into Rattle Road\KW11\[Open Defects into Rattle Test Daily KW11D3.xlsx]BY73X - Assembly (PM)'!$C$4</v>
      </c>
      <c r="L14" s="7" t="str">
        <f t="shared" si="33"/>
        <v>=(SUMPRODUCT(('X:\BY7xx Shared Management Information\5. BY731 Line_Subs_Final  2018\01 Mike Gaffney\Quality\DPV Into Rattle Road\KW11\[Open Defects into Rattle Test Daily KW11D3.xlsx]BY73X - Assembly (PM)'!$I:$I="Car Locked")+0))/'X:\BY7xx Shared Management Information\5. BY731 Line_Subs_Final  2018\01 Mike Gaffney\Quality\DPV Into Rattle Road\KW11\[Open Defects into Rattle Test Daily KW11D3.xlsx]BY73X - Assembly (PM)'!$C$4</v>
      </c>
      <c r="M14" s="8" t="e">
        <f t="shared" si="19"/>
        <v>#VALUE!</v>
      </c>
      <c r="N14" s="6" t="str">
        <f t="shared" si="27"/>
        <v>='X:\BY7xx Shared Management Information\5. BY731 Line_Subs_Final  2018\01 Mike Gaffney\Quality\DPV Into Rattle Road\KW11\[Open Defects into Rattle Test Daily KW11D4.xlsx]BY73X - Assembly (PM)'!$C$6</v>
      </c>
      <c r="O14" s="7" t="str">
        <f t="shared" si="34"/>
        <v>=(SUMPRODUCT(('X:\BY7xx Shared Management Information\5. BY731 Line_Subs_Final  2018\01 Mike Gaffney\Quality\DPV Into Rattle Road\KW11\[Open Defects into Rattle Test Daily KW11D4.xlsx]BY73X - Assembly (PM)'!$I:$I="Paintshop")+0)+SUMPRODUCT(('X:\BY7xx Shared Management Information\5. BY731 Line_Subs_Final  2018\01 Mike Gaffney\Quality\DPV Into Rattle Road\KW11\[Open Defects into Rattle Test Daily KW11D4.xlsx]BY73X - Assembly (PM)'!$I:$I="Paint")+0))/'X:\BY7xx Shared Management Information\5. BY731 Line_Subs_Final  2018\01 Mike Gaffney\Quality\DPV Into Rattle Road\KW11\[Open Defects into Rattle Test Daily KW11D4.xlsx]BY73X - Assembly (PM)'!$C$4</v>
      </c>
      <c r="P14" s="7" t="str">
        <f t="shared" si="35"/>
        <v>=(SUMPRODUCT(('X:\BY7xx Shared Management Information\5. BY731 Line_Subs_Final  2018\01 Mike Gaffney\Quality\DPV Into Rattle Road\KW11\[Open Defects into Rattle Test Daily KW11D4.xlsx]BY73X - Assembly (PM)'!$I:$I="Car Locked")+0))/'X:\BY7xx Shared Management Information\5. BY731 Line_Subs_Final  2018\01 Mike Gaffney\Quality\DPV Into Rattle Road\KW11\[Open Defects into Rattle Test Daily KW11D4.xlsx]BY73X - Assembly (PM)'!$C$4</v>
      </c>
      <c r="Q14" s="8" t="e">
        <f t="shared" si="20"/>
        <v>#VALUE!</v>
      </c>
      <c r="R14" s="6" t="str">
        <f t="shared" si="27"/>
        <v>='X:\BY7xx Shared Management Information\5. BY731 Line_Subs_Final  2018\01 Mike Gaffney\Quality\DPV Into Rattle Road\KW11\[Open Defects into Rattle Test Daily KW11D5.xlsx]BY73X - Assembly (PM)'!$C$6</v>
      </c>
      <c r="S14" s="7" t="str">
        <f t="shared" si="36"/>
        <v>=(SUMPRODUCT(('X:\BY7xx Shared Management Information\5. BY731 Line_Subs_Final  2018\01 Mike Gaffney\Quality\DPV Into Rattle Road\KW11\[Open Defects into Rattle Test Daily KW11D5.xlsx]BY73X - Assembly (PM)'!$I:$I="Paintshop")+0)+SUMPRODUCT(('X:\BY7xx Shared Management Information\5. BY731 Line_Subs_Final  2018\01 Mike Gaffney\Quality\DPV Into Rattle Road\KW11\[Open Defects into Rattle Test Daily KW11D5.xlsx]BY73X - Assembly (PM)'!$I:$I="Paint")+0))/'X:\BY7xx Shared Management Information\5. BY731 Line_Subs_Final  2018\01 Mike Gaffney\Quality\DPV Into Rattle Road\KW11\[Open Defects into Rattle Test Daily KW11D5.xlsx]BY73X - Assembly (PM)'!$C$4</v>
      </c>
      <c r="T14" s="7" t="str">
        <f t="shared" si="37"/>
        <v>=(SUMPRODUCT(('X:\BY7xx Shared Management Information\5. BY731 Line_Subs_Final  2018\01 Mike Gaffney\Quality\DPV Into Rattle Road\KW11\[Open Defects into Rattle Test Daily KW11D5.xlsx]BY73X - Assembly (PM)'!$I:$I="Car Locked")+0))/'X:\BY7xx Shared Management Information\5. BY731 Line_Subs_Final  2018\01 Mike Gaffney\Quality\DPV Into Rattle Road\KW11\[Open Defects into Rattle Test Daily KW11D5.xlsx]BY73X - Assembly (PM)'!$C$4</v>
      </c>
      <c r="U14" s="8" t="e">
        <f t="shared" si="21"/>
        <v>#VALUE!</v>
      </c>
      <c r="V14" t="e">
        <f t="shared" si="22"/>
        <v>#DIV/0!</v>
      </c>
      <c r="W14">
        <v>1</v>
      </c>
      <c r="X14">
        <v>0.2</v>
      </c>
      <c r="Y14">
        <v>0.3</v>
      </c>
      <c r="Z14" s="3">
        <v>1.57</v>
      </c>
    </row>
    <row r="15" spans="1:26" x14ac:dyDescent="0.2">
      <c r="A15" t="s">
        <v>2</v>
      </c>
      <c r="B15" s="6" t="str">
        <f t="shared" si="26"/>
        <v>='X:\BY7xx Shared Management Information\5. BY731 Line_Subs_Final  2018\01 Mike Gaffney\Quality\DPV Into Rattle Road\KW12\[Open Defects into Rattle Test Daily KW12D1.xlsx]BY73X - Assembly (PM)'!$C$6</v>
      </c>
      <c r="C15" s="7" t="str">
        <f t="shared" si="28"/>
        <v>=(SUMPRODUCT(('X:\BY7xx Shared Management Information\5. BY731 Line_Subs_Final  2018\01 Mike Gaffney\Quality\DPV Into Rattle Road\KW12\[Open Defects into Rattle Test Daily KW12D1.xlsx]BY73X - Assembly (PM)'!$I:$I="Paintshop")+0)+SUMPRODUCT(('X:\BY7xx Shared Management Information\5. BY731 Line_Subs_Final  2018\01 Mike Gaffney\Quality\DPV Into Rattle Road\KW12\[Open Defects into Rattle Test Daily KW12D1.xlsx]BY73X - Assembly (PM)'!$I:$I="Paint")+0))/'X:\BY7xx Shared Management Information\5. BY731 Line_Subs_Final  2018\01 Mike Gaffney\Quality\DPV Into Rattle Road\KW12\[Open Defects into Rattle Test Daily KW12D1.xlsx]BY73X - Assembly (PM)'!$C$4</v>
      </c>
      <c r="D15" s="7" t="str">
        <f t="shared" si="29"/>
        <v>=(SUMPRODUCT(('X:\BY7xx Shared Management Information\5. BY731 Line_Subs_Final  2018\01 Mike Gaffney\Quality\DPV Into Rattle Road\KW12\[Open Defects into Rattle Test Daily KW12D1.xlsx]BY73X - Assembly (PM)'!$I:$I="Car Locked")+0))/'X:\BY7xx Shared Management Information\5. BY731 Line_Subs_Final  2018\01 Mike Gaffney\Quality\DPV Into Rattle Road\KW12\[Open Defects into Rattle Test Daily KW12D1.xlsx]BY73X - Assembly (PM)'!$C$4</v>
      </c>
      <c r="E15" s="8" t="e">
        <f t="shared" si="17"/>
        <v>#VALUE!</v>
      </c>
      <c r="F15" s="6" t="str">
        <f t="shared" si="27"/>
        <v>='X:\BY7xx Shared Management Information\5. BY731 Line_Subs_Final  2018\01 Mike Gaffney\Quality\DPV Into Rattle Road\KW12\[Open Defects into Rattle Test Daily KW12D2.xlsx]BY73X - Assembly (PM)'!$C$6</v>
      </c>
      <c r="G15" s="7" t="str">
        <f t="shared" si="30"/>
        <v>=(SUMPRODUCT(('X:\BY7xx Shared Management Information\5. BY731 Line_Subs_Final  2018\01 Mike Gaffney\Quality\DPV Into Rattle Road\KW12\[Open Defects into Rattle Test Daily KW12D2.xlsx]BY73X - Assembly (PM)'!$I:$I="Paintshop")+0)+SUMPRODUCT(('X:\BY7xx Shared Management Information\5. BY731 Line_Subs_Final  2018\01 Mike Gaffney\Quality\DPV Into Rattle Road\KW12\[Open Defects into Rattle Test Daily KW12D2.xlsx]BY73X - Assembly (PM)'!$I:$I="Paint")+0))/'X:\BY7xx Shared Management Information\5. BY731 Line_Subs_Final  2018\01 Mike Gaffney\Quality\DPV Into Rattle Road\KW12\[Open Defects into Rattle Test Daily KW12D2.xlsx]BY73X - Assembly (PM)'!$C$4</v>
      </c>
      <c r="H15" s="7" t="str">
        <f t="shared" si="31"/>
        <v>=(SUMPRODUCT(('X:\BY7xx Shared Management Information\5. BY731 Line_Subs_Final  2018\01 Mike Gaffney\Quality\DPV Into Rattle Road\KW12\[Open Defects into Rattle Test Daily KW12D2.xlsx]BY73X - Assembly (PM)'!$I:$I="Car Locked")+0))/'X:\BY7xx Shared Management Information\5. BY731 Line_Subs_Final  2018\01 Mike Gaffney\Quality\DPV Into Rattle Road\KW12\[Open Defects into Rattle Test Daily KW12D2.xlsx]BY73X - Assembly (PM)'!$C$4</v>
      </c>
      <c r="I15" s="8" t="e">
        <f t="shared" si="18"/>
        <v>#VALUE!</v>
      </c>
      <c r="J15" s="6" t="str">
        <f t="shared" si="27"/>
        <v>='X:\BY7xx Shared Management Information\5. BY731 Line_Subs_Final  2018\01 Mike Gaffney\Quality\DPV Into Rattle Road\KW12\[Open Defects into Rattle Test Daily KW12D3.xlsx]BY73X - Assembly (PM)'!$C$6</v>
      </c>
      <c r="K15" s="7" t="str">
        <f t="shared" si="32"/>
        <v>=(SUMPRODUCT(('X:\BY7xx Shared Management Information\5. BY731 Line_Subs_Final  2018\01 Mike Gaffney\Quality\DPV Into Rattle Road\KW12\[Open Defects into Rattle Test Daily KW12D3.xlsx]BY73X - Assembly (PM)'!$I:$I="Paintshop")+0)+SUMPRODUCT(('X:\BY7xx Shared Management Information\5. BY731 Line_Subs_Final  2018\01 Mike Gaffney\Quality\DPV Into Rattle Road\KW12\[Open Defects into Rattle Test Daily KW12D3.xlsx]BY73X - Assembly (PM)'!$I:$I="Paint")+0))/'X:\BY7xx Shared Management Information\5. BY731 Line_Subs_Final  2018\01 Mike Gaffney\Quality\DPV Into Rattle Road\KW12\[Open Defects into Rattle Test Daily KW12D3.xlsx]BY73X - Assembly (PM)'!$C$4</v>
      </c>
      <c r="L15" s="7" t="str">
        <f t="shared" si="33"/>
        <v>=(SUMPRODUCT(('X:\BY7xx Shared Management Information\5. BY731 Line_Subs_Final  2018\01 Mike Gaffney\Quality\DPV Into Rattle Road\KW12\[Open Defects into Rattle Test Daily KW12D3.xlsx]BY73X - Assembly (PM)'!$I:$I="Car Locked")+0))/'X:\BY7xx Shared Management Information\5. BY731 Line_Subs_Final  2018\01 Mike Gaffney\Quality\DPV Into Rattle Road\KW12\[Open Defects into Rattle Test Daily KW12D3.xlsx]BY73X - Assembly (PM)'!$C$4</v>
      </c>
      <c r="M15" s="8" t="e">
        <f t="shared" si="19"/>
        <v>#VALUE!</v>
      </c>
      <c r="N15" s="6" t="str">
        <f t="shared" si="27"/>
        <v>='X:\BY7xx Shared Management Information\5. BY731 Line_Subs_Final  2018\01 Mike Gaffney\Quality\DPV Into Rattle Road\KW12\[Open Defects into Rattle Test Daily KW12D4.xlsx]BY73X - Assembly (PM)'!$C$6</v>
      </c>
      <c r="O15" s="7" t="str">
        <f t="shared" si="34"/>
        <v>=(SUMPRODUCT(('X:\BY7xx Shared Management Information\5. BY731 Line_Subs_Final  2018\01 Mike Gaffney\Quality\DPV Into Rattle Road\KW12\[Open Defects into Rattle Test Daily KW12D4.xlsx]BY73X - Assembly (PM)'!$I:$I="Paintshop")+0)+SUMPRODUCT(('X:\BY7xx Shared Management Information\5. BY731 Line_Subs_Final  2018\01 Mike Gaffney\Quality\DPV Into Rattle Road\KW12\[Open Defects into Rattle Test Daily KW12D4.xlsx]BY73X - Assembly (PM)'!$I:$I="Paint")+0))/'X:\BY7xx Shared Management Information\5. BY731 Line_Subs_Final  2018\01 Mike Gaffney\Quality\DPV Into Rattle Road\KW12\[Open Defects into Rattle Test Daily KW12D4.xlsx]BY73X - Assembly (PM)'!$C$4</v>
      </c>
      <c r="P15" s="7" t="str">
        <f t="shared" si="35"/>
        <v>=(SUMPRODUCT(('X:\BY7xx Shared Management Information\5. BY731 Line_Subs_Final  2018\01 Mike Gaffney\Quality\DPV Into Rattle Road\KW12\[Open Defects into Rattle Test Daily KW12D4.xlsx]BY73X - Assembly (PM)'!$I:$I="Car Locked")+0))/'X:\BY7xx Shared Management Information\5. BY731 Line_Subs_Final  2018\01 Mike Gaffney\Quality\DPV Into Rattle Road\KW12\[Open Defects into Rattle Test Daily KW12D4.xlsx]BY73X - Assembly (PM)'!$C$4</v>
      </c>
      <c r="Q15" s="8" t="e">
        <f t="shared" si="20"/>
        <v>#VALUE!</v>
      </c>
      <c r="R15" s="6" t="str">
        <f t="shared" si="27"/>
        <v>='X:\BY7xx Shared Management Information\5. BY731 Line_Subs_Final  2018\01 Mike Gaffney\Quality\DPV Into Rattle Road\KW12\[Open Defects into Rattle Test Daily KW12D5.xlsx]BY73X - Assembly (PM)'!$C$6</v>
      </c>
      <c r="S15" s="7" t="str">
        <f t="shared" si="36"/>
        <v>=(SUMPRODUCT(('X:\BY7xx Shared Management Information\5. BY731 Line_Subs_Final  2018\01 Mike Gaffney\Quality\DPV Into Rattle Road\KW12\[Open Defects into Rattle Test Daily KW12D5.xlsx]BY73X - Assembly (PM)'!$I:$I="Paintshop")+0)+SUMPRODUCT(('X:\BY7xx Shared Management Information\5. BY731 Line_Subs_Final  2018\01 Mike Gaffney\Quality\DPV Into Rattle Road\KW12\[Open Defects into Rattle Test Daily KW12D5.xlsx]BY73X - Assembly (PM)'!$I:$I="Paint")+0))/'X:\BY7xx Shared Management Information\5. BY731 Line_Subs_Final  2018\01 Mike Gaffney\Quality\DPV Into Rattle Road\KW12\[Open Defects into Rattle Test Daily KW12D5.xlsx]BY73X - Assembly (PM)'!$C$4</v>
      </c>
      <c r="T15" s="7" t="str">
        <f t="shared" si="37"/>
        <v>=(SUMPRODUCT(('X:\BY7xx Shared Management Information\5. BY731 Line_Subs_Final  2018\01 Mike Gaffney\Quality\DPV Into Rattle Road\KW12\[Open Defects into Rattle Test Daily KW12D5.xlsx]BY73X - Assembly (PM)'!$I:$I="Car Locked")+0))/'X:\BY7xx Shared Management Information\5. BY731 Line_Subs_Final  2018\01 Mike Gaffney\Quality\DPV Into Rattle Road\KW12\[Open Defects into Rattle Test Daily KW12D5.xlsx]BY73X - Assembly (PM)'!$C$4</v>
      </c>
      <c r="U15" s="8" t="e">
        <f t="shared" si="21"/>
        <v>#VALUE!</v>
      </c>
      <c r="V15" t="e">
        <f t="shared" si="22"/>
        <v>#DIV/0!</v>
      </c>
      <c r="W15">
        <v>1</v>
      </c>
      <c r="X15">
        <v>0.2</v>
      </c>
      <c r="Y15">
        <v>0.3</v>
      </c>
      <c r="Z15" s="3">
        <v>1.57</v>
      </c>
    </row>
    <row r="16" spans="1:26" x14ac:dyDescent="0.2">
      <c r="A16" t="s">
        <v>3</v>
      </c>
      <c r="B16" s="6" t="str">
        <f t="shared" si="26"/>
        <v>='X:\BY7xx Shared Management Information\5. BY731 Line_Subs_Final  2018\01 Mike Gaffney\Quality\DPV Into Rattle Road\KW13\[Open Defects into Rattle Test Daily KW13D1.xlsx]BY73X - Assembly (PM)'!$C$6</v>
      </c>
      <c r="C16" s="7" t="str">
        <f t="shared" si="28"/>
        <v>=(SUMPRODUCT(('X:\BY7xx Shared Management Information\5. BY731 Line_Subs_Final  2018\01 Mike Gaffney\Quality\DPV Into Rattle Road\KW13\[Open Defects into Rattle Test Daily KW13D1.xlsx]BY73X - Assembly (PM)'!$I:$I="Paintshop")+0)+SUMPRODUCT(('X:\BY7xx Shared Management Information\5. BY731 Line_Subs_Final  2018\01 Mike Gaffney\Quality\DPV Into Rattle Road\KW13\[Open Defects into Rattle Test Daily KW13D1.xlsx]BY73X - Assembly (PM)'!$I:$I="Paint")+0))/'X:\BY7xx Shared Management Information\5. BY731 Line_Subs_Final  2018\01 Mike Gaffney\Quality\DPV Into Rattle Road\KW13\[Open Defects into Rattle Test Daily KW13D1.xlsx]BY73X - Assembly (PM)'!$C$4</v>
      </c>
      <c r="D16" s="7" t="str">
        <f t="shared" si="29"/>
        <v>=(SUMPRODUCT(('X:\BY7xx Shared Management Information\5. BY731 Line_Subs_Final  2018\01 Mike Gaffney\Quality\DPV Into Rattle Road\KW13\[Open Defects into Rattle Test Daily KW13D1.xlsx]BY73X - Assembly (PM)'!$I:$I="Car Locked")+0))/'X:\BY7xx Shared Management Information\5. BY731 Line_Subs_Final  2018\01 Mike Gaffney\Quality\DPV Into Rattle Road\KW13\[Open Defects into Rattle Test Daily KW13D1.xlsx]BY73X - Assembly (PM)'!$C$4</v>
      </c>
      <c r="E16" s="8" t="e">
        <f t="shared" si="17"/>
        <v>#VALUE!</v>
      </c>
      <c r="F16" s="6" t="str">
        <f t="shared" si="27"/>
        <v>='X:\BY7xx Shared Management Information\5. BY731 Line_Subs_Final  2018\01 Mike Gaffney\Quality\DPV Into Rattle Road\KW13\[Open Defects into Rattle Test Daily KW13D2.xlsx]BY73X - Assembly (PM)'!$C$6</v>
      </c>
      <c r="G16" s="7" t="str">
        <f t="shared" si="30"/>
        <v>=(SUMPRODUCT(('X:\BY7xx Shared Management Information\5. BY731 Line_Subs_Final  2018\01 Mike Gaffney\Quality\DPV Into Rattle Road\KW13\[Open Defects into Rattle Test Daily KW13D2.xlsx]BY73X - Assembly (PM)'!$I:$I="Paintshop")+0)+SUMPRODUCT(('X:\BY7xx Shared Management Information\5. BY731 Line_Subs_Final  2018\01 Mike Gaffney\Quality\DPV Into Rattle Road\KW13\[Open Defects into Rattle Test Daily KW13D2.xlsx]BY73X - Assembly (PM)'!$I:$I="Paint")+0))/'X:\BY7xx Shared Management Information\5. BY731 Line_Subs_Final  2018\01 Mike Gaffney\Quality\DPV Into Rattle Road\KW13\[Open Defects into Rattle Test Daily KW13D2.xlsx]BY73X - Assembly (PM)'!$C$4</v>
      </c>
      <c r="H16" s="7" t="str">
        <f t="shared" si="31"/>
        <v>=(SUMPRODUCT(('X:\BY7xx Shared Management Information\5. BY731 Line_Subs_Final  2018\01 Mike Gaffney\Quality\DPV Into Rattle Road\KW13\[Open Defects into Rattle Test Daily KW13D2.xlsx]BY73X - Assembly (PM)'!$I:$I="Car Locked")+0))/'X:\BY7xx Shared Management Information\5. BY731 Line_Subs_Final  2018\01 Mike Gaffney\Quality\DPV Into Rattle Road\KW13\[Open Defects into Rattle Test Daily KW13D2.xlsx]BY73X - Assembly (PM)'!$C$4</v>
      </c>
      <c r="I16" s="8" t="e">
        <f t="shared" si="18"/>
        <v>#VALUE!</v>
      </c>
      <c r="J16" s="6" t="str">
        <f t="shared" si="27"/>
        <v>='X:\BY7xx Shared Management Information\5. BY731 Line_Subs_Final  2018\01 Mike Gaffney\Quality\DPV Into Rattle Road\KW13\[Open Defects into Rattle Test Daily KW13D3.xlsx]BY73X - Assembly (PM)'!$C$6</v>
      </c>
      <c r="K16" s="7" t="str">
        <f t="shared" si="32"/>
        <v>=(SUMPRODUCT(('X:\BY7xx Shared Management Information\5. BY731 Line_Subs_Final  2018\01 Mike Gaffney\Quality\DPV Into Rattle Road\KW13\[Open Defects into Rattle Test Daily KW13D3.xlsx]BY73X - Assembly (PM)'!$I:$I="Paintshop")+0)+SUMPRODUCT(('X:\BY7xx Shared Management Information\5. BY731 Line_Subs_Final  2018\01 Mike Gaffney\Quality\DPV Into Rattle Road\KW13\[Open Defects into Rattle Test Daily KW13D3.xlsx]BY73X - Assembly (PM)'!$I:$I="Paint")+0))/'X:\BY7xx Shared Management Information\5. BY731 Line_Subs_Final  2018\01 Mike Gaffney\Quality\DPV Into Rattle Road\KW13\[Open Defects into Rattle Test Daily KW13D3.xlsx]BY73X - Assembly (PM)'!$C$4</v>
      </c>
      <c r="L16" s="7" t="str">
        <f t="shared" si="33"/>
        <v>=(SUMPRODUCT(('X:\BY7xx Shared Management Information\5. BY731 Line_Subs_Final  2018\01 Mike Gaffney\Quality\DPV Into Rattle Road\KW13\[Open Defects into Rattle Test Daily KW13D3.xlsx]BY73X - Assembly (PM)'!$I:$I="Car Locked")+0))/'X:\BY7xx Shared Management Information\5. BY731 Line_Subs_Final  2018\01 Mike Gaffney\Quality\DPV Into Rattle Road\KW13\[Open Defects into Rattle Test Daily KW13D3.xlsx]BY73X - Assembly (PM)'!$C$4</v>
      </c>
      <c r="M16" s="8" t="e">
        <f t="shared" si="19"/>
        <v>#VALUE!</v>
      </c>
      <c r="N16" s="6" t="str">
        <f t="shared" si="27"/>
        <v>='X:\BY7xx Shared Management Information\5. BY731 Line_Subs_Final  2018\01 Mike Gaffney\Quality\DPV Into Rattle Road\KW13\[Open Defects into Rattle Test Daily KW13D4.xlsx]BY73X - Assembly (PM)'!$C$6</v>
      </c>
      <c r="O16" s="7" t="str">
        <f t="shared" si="34"/>
        <v>=(SUMPRODUCT(('X:\BY7xx Shared Management Information\5. BY731 Line_Subs_Final  2018\01 Mike Gaffney\Quality\DPV Into Rattle Road\KW13\[Open Defects into Rattle Test Daily KW13D4.xlsx]BY73X - Assembly (PM)'!$I:$I="Paintshop")+0)+SUMPRODUCT(('X:\BY7xx Shared Management Information\5. BY731 Line_Subs_Final  2018\01 Mike Gaffney\Quality\DPV Into Rattle Road\KW13\[Open Defects into Rattle Test Daily KW13D4.xlsx]BY73X - Assembly (PM)'!$I:$I="Paint")+0))/'X:\BY7xx Shared Management Information\5. BY731 Line_Subs_Final  2018\01 Mike Gaffney\Quality\DPV Into Rattle Road\KW13\[Open Defects into Rattle Test Daily KW13D4.xlsx]BY73X - Assembly (PM)'!$C$4</v>
      </c>
      <c r="P16" s="7" t="str">
        <f t="shared" si="35"/>
        <v>=(SUMPRODUCT(('X:\BY7xx Shared Management Information\5. BY731 Line_Subs_Final  2018\01 Mike Gaffney\Quality\DPV Into Rattle Road\KW13\[Open Defects into Rattle Test Daily KW13D4.xlsx]BY73X - Assembly (PM)'!$I:$I="Car Locked")+0))/'X:\BY7xx Shared Management Information\5. BY731 Line_Subs_Final  2018\01 Mike Gaffney\Quality\DPV Into Rattle Road\KW13\[Open Defects into Rattle Test Daily KW13D4.xlsx]BY73X - Assembly (PM)'!$C$4</v>
      </c>
      <c r="Q16" s="8" t="e">
        <f t="shared" si="20"/>
        <v>#VALUE!</v>
      </c>
      <c r="R16" s="6" t="str">
        <f t="shared" si="27"/>
        <v>='X:\BY7xx Shared Management Information\5. BY731 Line_Subs_Final  2018\01 Mike Gaffney\Quality\DPV Into Rattle Road\KW13\[Open Defects into Rattle Test Daily KW13D5.xlsx]BY73X - Assembly (PM)'!$C$6</v>
      </c>
      <c r="S16" s="7" t="str">
        <f t="shared" si="36"/>
        <v>=(SUMPRODUCT(('X:\BY7xx Shared Management Information\5. BY731 Line_Subs_Final  2018\01 Mike Gaffney\Quality\DPV Into Rattle Road\KW13\[Open Defects into Rattle Test Daily KW13D5.xlsx]BY73X - Assembly (PM)'!$I:$I="Paintshop")+0)+SUMPRODUCT(('X:\BY7xx Shared Management Information\5. BY731 Line_Subs_Final  2018\01 Mike Gaffney\Quality\DPV Into Rattle Road\KW13\[Open Defects into Rattle Test Daily KW13D5.xlsx]BY73X - Assembly (PM)'!$I:$I="Paint")+0))/'X:\BY7xx Shared Management Information\5. BY731 Line_Subs_Final  2018\01 Mike Gaffney\Quality\DPV Into Rattle Road\KW13\[Open Defects into Rattle Test Daily KW13D5.xlsx]BY73X - Assembly (PM)'!$C$4</v>
      </c>
      <c r="T16" s="7" t="str">
        <f t="shared" si="37"/>
        <v>=(SUMPRODUCT(('X:\BY7xx Shared Management Information\5. BY731 Line_Subs_Final  2018\01 Mike Gaffney\Quality\DPV Into Rattle Road\KW13\[Open Defects into Rattle Test Daily KW13D5.xlsx]BY73X - Assembly (PM)'!$I:$I="Car Locked")+0))/'X:\BY7xx Shared Management Information\5. BY731 Line_Subs_Final  2018\01 Mike Gaffney\Quality\DPV Into Rattle Road\KW13\[Open Defects into Rattle Test Daily KW13D5.xlsx]BY73X - Assembly (PM)'!$C$4</v>
      </c>
      <c r="U16" s="8" t="e">
        <f t="shared" si="21"/>
        <v>#VALUE!</v>
      </c>
      <c r="V16" t="e">
        <f t="shared" si="22"/>
        <v>#DIV/0!</v>
      </c>
      <c r="W16">
        <v>1</v>
      </c>
      <c r="X16">
        <v>0.2</v>
      </c>
      <c r="Y16">
        <v>0.3</v>
      </c>
      <c r="Z16" s="3">
        <v>1.57</v>
      </c>
    </row>
    <row r="17" spans="1:26" x14ac:dyDescent="0.2">
      <c r="A17" t="s">
        <v>4</v>
      </c>
      <c r="B17" s="6" t="str">
        <f t="shared" si="26"/>
        <v>='X:\BY7xx Shared Management Information\5. BY731 Line_Subs_Final  2018\01 Mike Gaffney\Quality\DPV Into Rattle Road\KW14\[Open Defects into Rattle Test Daily KW14D1.xlsx]BY73X - Assembly (PM)'!$C$6</v>
      </c>
      <c r="C17" s="7" t="str">
        <f t="shared" si="28"/>
        <v>=(SUMPRODUCT(('X:\BY7xx Shared Management Information\5. BY731 Line_Subs_Final  2018\01 Mike Gaffney\Quality\DPV Into Rattle Road\KW14\[Open Defects into Rattle Test Daily KW14D1.xlsx]BY73X - Assembly (PM)'!$I:$I="Paintshop")+0)+SUMPRODUCT(('X:\BY7xx Shared Management Information\5. BY731 Line_Subs_Final  2018\01 Mike Gaffney\Quality\DPV Into Rattle Road\KW14\[Open Defects into Rattle Test Daily KW14D1.xlsx]BY73X - Assembly (PM)'!$I:$I="Paint")+0))/'X:\BY7xx Shared Management Information\5. BY731 Line_Subs_Final  2018\01 Mike Gaffney\Quality\DPV Into Rattle Road\KW14\[Open Defects into Rattle Test Daily KW14D1.xlsx]BY73X - Assembly (PM)'!$C$4</v>
      </c>
      <c r="D17" s="7" t="str">
        <f t="shared" si="29"/>
        <v>=(SUMPRODUCT(('X:\BY7xx Shared Management Information\5. BY731 Line_Subs_Final  2018\01 Mike Gaffney\Quality\DPV Into Rattle Road\KW14\[Open Defects into Rattle Test Daily KW14D1.xlsx]BY73X - Assembly (PM)'!$I:$I="Car Locked")+0))/'X:\BY7xx Shared Management Information\5. BY731 Line_Subs_Final  2018\01 Mike Gaffney\Quality\DPV Into Rattle Road\KW14\[Open Defects into Rattle Test Daily KW14D1.xlsx]BY73X - Assembly (PM)'!$C$4</v>
      </c>
      <c r="E17" s="8" t="e">
        <f t="shared" si="17"/>
        <v>#VALUE!</v>
      </c>
      <c r="F17" s="6" t="str">
        <f t="shared" si="27"/>
        <v>='X:\BY7xx Shared Management Information\5. BY731 Line_Subs_Final  2018\01 Mike Gaffney\Quality\DPV Into Rattle Road\KW14\[Open Defects into Rattle Test Daily KW14D2.xlsx]BY73X - Assembly (PM)'!$C$6</v>
      </c>
      <c r="G17" s="7" t="str">
        <f t="shared" si="30"/>
        <v>=(SUMPRODUCT(('X:\BY7xx Shared Management Information\5. BY731 Line_Subs_Final  2018\01 Mike Gaffney\Quality\DPV Into Rattle Road\KW14\[Open Defects into Rattle Test Daily KW14D2.xlsx]BY73X - Assembly (PM)'!$I:$I="Paintshop")+0)+SUMPRODUCT(('X:\BY7xx Shared Management Information\5. BY731 Line_Subs_Final  2018\01 Mike Gaffney\Quality\DPV Into Rattle Road\KW14\[Open Defects into Rattle Test Daily KW14D2.xlsx]BY73X - Assembly (PM)'!$I:$I="Paint")+0))/'X:\BY7xx Shared Management Information\5. BY731 Line_Subs_Final  2018\01 Mike Gaffney\Quality\DPV Into Rattle Road\KW14\[Open Defects into Rattle Test Daily KW14D2.xlsx]BY73X - Assembly (PM)'!$C$4</v>
      </c>
      <c r="H17" s="7" t="str">
        <f t="shared" si="31"/>
        <v>=(SUMPRODUCT(('X:\BY7xx Shared Management Information\5. BY731 Line_Subs_Final  2018\01 Mike Gaffney\Quality\DPV Into Rattle Road\KW14\[Open Defects into Rattle Test Daily KW14D2.xlsx]BY73X - Assembly (PM)'!$I:$I="Car Locked")+0))/'X:\BY7xx Shared Management Information\5. BY731 Line_Subs_Final  2018\01 Mike Gaffney\Quality\DPV Into Rattle Road\KW14\[Open Defects into Rattle Test Daily KW14D2.xlsx]BY73X - Assembly (PM)'!$C$4</v>
      </c>
      <c r="I17" s="8" t="e">
        <f t="shared" si="18"/>
        <v>#VALUE!</v>
      </c>
      <c r="J17" s="6" t="str">
        <f t="shared" si="27"/>
        <v>='X:\BY7xx Shared Management Information\5. BY731 Line_Subs_Final  2018\01 Mike Gaffney\Quality\DPV Into Rattle Road\KW14\[Open Defects into Rattle Test Daily KW14D3.xlsx]BY73X - Assembly (PM)'!$C$6</v>
      </c>
      <c r="K17" s="7" t="str">
        <f t="shared" si="32"/>
        <v>=(SUMPRODUCT(('X:\BY7xx Shared Management Information\5. BY731 Line_Subs_Final  2018\01 Mike Gaffney\Quality\DPV Into Rattle Road\KW14\[Open Defects into Rattle Test Daily KW14D3.xlsx]BY73X - Assembly (PM)'!$I:$I="Paintshop")+0)+SUMPRODUCT(('X:\BY7xx Shared Management Information\5. BY731 Line_Subs_Final  2018\01 Mike Gaffney\Quality\DPV Into Rattle Road\KW14\[Open Defects into Rattle Test Daily KW14D3.xlsx]BY73X - Assembly (PM)'!$I:$I="Paint")+0))/'X:\BY7xx Shared Management Information\5. BY731 Line_Subs_Final  2018\01 Mike Gaffney\Quality\DPV Into Rattle Road\KW14\[Open Defects into Rattle Test Daily KW14D3.xlsx]BY73X - Assembly (PM)'!$C$4</v>
      </c>
      <c r="L17" s="7" t="str">
        <f t="shared" si="33"/>
        <v>=(SUMPRODUCT(('X:\BY7xx Shared Management Information\5. BY731 Line_Subs_Final  2018\01 Mike Gaffney\Quality\DPV Into Rattle Road\KW14\[Open Defects into Rattle Test Daily KW14D3.xlsx]BY73X - Assembly (PM)'!$I:$I="Car Locked")+0))/'X:\BY7xx Shared Management Information\5. BY731 Line_Subs_Final  2018\01 Mike Gaffney\Quality\DPV Into Rattle Road\KW14\[Open Defects into Rattle Test Daily KW14D3.xlsx]BY73X - Assembly (PM)'!$C$4</v>
      </c>
      <c r="M17" s="8" t="e">
        <f t="shared" si="19"/>
        <v>#VALUE!</v>
      </c>
      <c r="N17" s="6" t="str">
        <f t="shared" si="27"/>
        <v>='X:\BY7xx Shared Management Information\5. BY731 Line_Subs_Final  2018\01 Mike Gaffney\Quality\DPV Into Rattle Road\KW14\[Open Defects into Rattle Test Daily KW14D4.xlsx]BY73X - Assembly (PM)'!$C$6</v>
      </c>
      <c r="O17" s="7" t="str">
        <f t="shared" si="34"/>
        <v>=(SUMPRODUCT(('X:\BY7xx Shared Management Information\5. BY731 Line_Subs_Final  2018\01 Mike Gaffney\Quality\DPV Into Rattle Road\KW14\[Open Defects into Rattle Test Daily KW14D4.xlsx]BY73X - Assembly (PM)'!$I:$I="Paintshop")+0)+SUMPRODUCT(('X:\BY7xx Shared Management Information\5. BY731 Line_Subs_Final  2018\01 Mike Gaffney\Quality\DPV Into Rattle Road\KW14\[Open Defects into Rattle Test Daily KW14D4.xlsx]BY73X - Assembly (PM)'!$I:$I="Paint")+0))/'X:\BY7xx Shared Management Information\5. BY731 Line_Subs_Final  2018\01 Mike Gaffney\Quality\DPV Into Rattle Road\KW14\[Open Defects into Rattle Test Daily KW14D4.xlsx]BY73X - Assembly (PM)'!$C$4</v>
      </c>
      <c r="P17" s="7" t="str">
        <f t="shared" si="35"/>
        <v>=(SUMPRODUCT(('X:\BY7xx Shared Management Information\5. BY731 Line_Subs_Final  2018\01 Mike Gaffney\Quality\DPV Into Rattle Road\KW14\[Open Defects into Rattle Test Daily KW14D4.xlsx]BY73X - Assembly (PM)'!$I:$I="Car Locked")+0))/'X:\BY7xx Shared Management Information\5. BY731 Line_Subs_Final  2018\01 Mike Gaffney\Quality\DPV Into Rattle Road\KW14\[Open Defects into Rattle Test Daily KW14D4.xlsx]BY73X - Assembly (PM)'!$C$4</v>
      </c>
      <c r="Q17" s="8" t="e">
        <f t="shared" si="20"/>
        <v>#VALUE!</v>
      </c>
      <c r="R17" s="6" t="str">
        <f t="shared" si="27"/>
        <v>='X:\BY7xx Shared Management Information\5. BY731 Line_Subs_Final  2018\01 Mike Gaffney\Quality\DPV Into Rattle Road\KW14\[Open Defects into Rattle Test Daily KW14D5.xlsx]BY73X - Assembly (PM)'!$C$6</v>
      </c>
      <c r="S17" s="7" t="str">
        <f t="shared" si="36"/>
        <v>=(SUMPRODUCT(('X:\BY7xx Shared Management Information\5. BY731 Line_Subs_Final  2018\01 Mike Gaffney\Quality\DPV Into Rattle Road\KW14\[Open Defects into Rattle Test Daily KW14D5.xlsx]BY73X - Assembly (PM)'!$I:$I="Paintshop")+0)+SUMPRODUCT(('X:\BY7xx Shared Management Information\5. BY731 Line_Subs_Final  2018\01 Mike Gaffney\Quality\DPV Into Rattle Road\KW14\[Open Defects into Rattle Test Daily KW14D5.xlsx]BY73X - Assembly (PM)'!$I:$I="Paint")+0))/'X:\BY7xx Shared Management Information\5. BY731 Line_Subs_Final  2018\01 Mike Gaffney\Quality\DPV Into Rattle Road\KW14\[Open Defects into Rattle Test Daily KW14D5.xlsx]BY73X - Assembly (PM)'!$C$4</v>
      </c>
      <c r="T17" s="7" t="str">
        <f t="shared" si="37"/>
        <v>=(SUMPRODUCT(('X:\BY7xx Shared Management Information\5. BY731 Line_Subs_Final  2018\01 Mike Gaffney\Quality\DPV Into Rattle Road\KW14\[Open Defects into Rattle Test Daily KW14D5.xlsx]BY73X - Assembly (PM)'!$I:$I="Car Locked")+0))/'X:\BY7xx Shared Management Information\5. BY731 Line_Subs_Final  2018\01 Mike Gaffney\Quality\DPV Into Rattle Road\KW14\[Open Defects into Rattle Test Daily KW14D5.xlsx]BY73X - Assembly (PM)'!$C$4</v>
      </c>
      <c r="U17" s="8" t="e">
        <f t="shared" si="21"/>
        <v>#VALUE!</v>
      </c>
      <c r="V17" t="e">
        <f t="shared" si="22"/>
        <v>#DIV/0!</v>
      </c>
      <c r="W17">
        <v>1</v>
      </c>
      <c r="X17">
        <v>0.2</v>
      </c>
      <c r="Y17">
        <v>0.3</v>
      </c>
      <c r="Z17" s="3">
        <v>1.57</v>
      </c>
    </row>
    <row r="18" spans="1:26" x14ac:dyDescent="0.2">
      <c r="A18" t="s">
        <v>5</v>
      </c>
      <c r="B18" s="6" t="str">
        <f t="shared" si="26"/>
        <v>='X:\BY7xx Shared Management Information\5. BY731 Line_Subs_Final  2018\01 Mike Gaffney\Quality\DPV Into Rattle Road\KW15\[Open Defects into Rattle Test Daily KW15D1.xlsx]BY73X - Assembly (PM)'!$C$6</v>
      </c>
      <c r="C18" s="7" t="str">
        <f t="shared" si="28"/>
        <v>=(SUMPRODUCT(('X:\BY7xx Shared Management Information\5. BY731 Line_Subs_Final  2018\01 Mike Gaffney\Quality\DPV Into Rattle Road\KW15\[Open Defects into Rattle Test Daily KW15D1.xlsx]BY73X - Assembly (PM)'!$I:$I="Paintshop")+0)+SUMPRODUCT(('X:\BY7xx Shared Management Information\5. BY731 Line_Subs_Final  2018\01 Mike Gaffney\Quality\DPV Into Rattle Road\KW15\[Open Defects into Rattle Test Daily KW15D1.xlsx]BY73X - Assembly (PM)'!$I:$I="Paint")+0))/'X:\BY7xx Shared Management Information\5. BY731 Line_Subs_Final  2018\01 Mike Gaffney\Quality\DPV Into Rattle Road\KW15\[Open Defects into Rattle Test Daily KW15D1.xlsx]BY73X - Assembly (PM)'!$C$4</v>
      </c>
      <c r="D18" s="7" t="str">
        <f t="shared" si="29"/>
        <v>=(SUMPRODUCT(('X:\BY7xx Shared Management Information\5. BY731 Line_Subs_Final  2018\01 Mike Gaffney\Quality\DPV Into Rattle Road\KW15\[Open Defects into Rattle Test Daily KW15D1.xlsx]BY73X - Assembly (PM)'!$I:$I="Car Locked")+0))/'X:\BY7xx Shared Management Information\5. BY731 Line_Subs_Final  2018\01 Mike Gaffney\Quality\DPV Into Rattle Road\KW15\[Open Defects into Rattle Test Daily KW15D1.xlsx]BY73X - Assembly (PM)'!$C$4</v>
      </c>
      <c r="E18" s="8" t="e">
        <f t="shared" si="17"/>
        <v>#VALUE!</v>
      </c>
      <c r="F18" s="6" t="str">
        <f t="shared" si="27"/>
        <v>='X:\BY7xx Shared Management Information\5. BY731 Line_Subs_Final  2018\01 Mike Gaffney\Quality\DPV Into Rattle Road\KW15\[Open Defects into Rattle Test Daily KW15D2.xlsx]BY73X - Assembly (PM)'!$C$6</v>
      </c>
      <c r="G18" s="7" t="str">
        <f t="shared" si="30"/>
        <v>=(SUMPRODUCT(('X:\BY7xx Shared Management Information\5. BY731 Line_Subs_Final  2018\01 Mike Gaffney\Quality\DPV Into Rattle Road\KW15\[Open Defects into Rattle Test Daily KW15D2.xlsx]BY73X - Assembly (PM)'!$I:$I="Paintshop")+0)+SUMPRODUCT(('X:\BY7xx Shared Management Information\5. BY731 Line_Subs_Final  2018\01 Mike Gaffney\Quality\DPV Into Rattle Road\KW15\[Open Defects into Rattle Test Daily KW15D2.xlsx]BY73X - Assembly (PM)'!$I:$I="Paint")+0))/'X:\BY7xx Shared Management Information\5. BY731 Line_Subs_Final  2018\01 Mike Gaffney\Quality\DPV Into Rattle Road\KW15\[Open Defects into Rattle Test Daily KW15D2.xlsx]BY73X - Assembly (PM)'!$C$4</v>
      </c>
      <c r="H18" s="7" t="str">
        <f t="shared" si="31"/>
        <v>=(SUMPRODUCT(('X:\BY7xx Shared Management Information\5. BY731 Line_Subs_Final  2018\01 Mike Gaffney\Quality\DPV Into Rattle Road\KW15\[Open Defects into Rattle Test Daily KW15D2.xlsx]BY73X - Assembly (PM)'!$I:$I="Car Locked")+0))/'X:\BY7xx Shared Management Information\5. BY731 Line_Subs_Final  2018\01 Mike Gaffney\Quality\DPV Into Rattle Road\KW15\[Open Defects into Rattle Test Daily KW15D2.xlsx]BY73X - Assembly (PM)'!$C$4</v>
      </c>
      <c r="I18" s="8" t="e">
        <f t="shared" si="18"/>
        <v>#VALUE!</v>
      </c>
      <c r="J18" s="6" t="str">
        <f t="shared" si="27"/>
        <v>='X:\BY7xx Shared Management Information\5. BY731 Line_Subs_Final  2018\01 Mike Gaffney\Quality\DPV Into Rattle Road\KW15\[Open Defects into Rattle Test Daily KW15D3.xlsx]BY73X - Assembly (PM)'!$C$6</v>
      </c>
      <c r="K18" s="7" t="str">
        <f t="shared" si="32"/>
        <v>=(SUMPRODUCT(('X:\BY7xx Shared Management Information\5. BY731 Line_Subs_Final  2018\01 Mike Gaffney\Quality\DPV Into Rattle Road\KW15\[Open Defects into Rattle Test Daily KW15D3.xlsx]BY73X - Assembly (PM)'!$I:$I="Paintshop")+0)+SUMPRODUCT(('X:\BY7xx Shared Management Information\5. BY731 Line_Subs_Final  2018\01 Mike Gaffney\Quality\DPV Into Rattle Road\KW15\[Open Defects into Rattle Test Daily KW15D3.xlsx]BY73X - Assembly (PM)'!$I:$I="Paint")+0))/'X:\BY7xx Shared Management Information\5. BY731 Line_Subs_Final  2018\01 Mike Gaffney\Quality\DPV Into Rattle Road\KW15\[Open Defects into Rattle Test Daily KW15D3.xlsx]BY73X - Assembly (PM)'!$C$4</v>
      </c>
      <c r="L18" s="7" t="str">
        <f t="shared" si="33"/>
        <v>=(SUMPRODUCT(('X:\BY7xx Shared Management Information\5. BY731 Line_Subs_Final  2018\01 Mike Gaffney\Quality\DPV Into Rattle Road\KW15\[Open Defects into Rattle Test Daily KW15D3.xlsx]BY73X - Assembly (PM)'!$I:$I="Car Locked")+0))/'X:\BY7xx Shared Management Information\5. BY731 Line_Subs_Final  2018\01 Mike Gaffney\Quality\DPV Into Rattle Road\KW15\[Open Defects into Rattle Test Daily KW15D3.xlsx]BY73X - Assembly (PM)'!$C$4</v>
      </c>
      <c r="M18" s="8" t="e">
        <f t="shared" si="19"/>
        <v>#VALUE!</v>
      </c>
      <c r="N18" s="6" t="str">
        <f t="shared" si="27"/>
        <v>='X:\BY7xx Shared Management Information\5. BY731 Line_Subs_Final  2018\01 Mike Gaffney\Quality\DPV Into Rattle Road\KW15\[Open Defects into Rattle Test Daily KW15D4.xlsx]BY73X - Assembly (PM)'!$C$6</v>
      </c>
      <c r="O18" s="7" t="str">
        <f t="shared" si="34"/>
        <v>=(SUMPRODUCT(('X:\BY7xx Shared Management Information\5. BY731 Line_Subs_Final  2018\01 Mike Gaffney\Quality\DPV Into Rattle Road\KW15\[Open Defects into Rattle Test Daily KW15D4.xlsx]BY73X - Assembly (PM)'!$I:$I="Paintshop")+0)+SUMPRODUCT(('X:\BY7xx Shared Management Information\5. BY731 Line_Subs_Final  2018\01 Mike Gaffney\Quality\DPV Into Rattle Road\KW15\[Open Defects into Rattle Test Daily KW15D4.xlsx]BY73X - Assembly (PM)'!$I:$I="Paint")+0))/'X:\BY7xx Shared Management Information\5. BY731 Line_Subs_Final  2018\01 Mike Gaffney\Quality\DPV Into Rattle Road\KW15\[Open Defects into Rattle Test Daily KW15D4.xlsx]BY73X - Assembly (PM)'!$C$4</v>
      </c>
      <c r="P18" s="7" t="str">
        <f t="shared" si="35"/>
        <v>=(SUMPRODUCT(('X:\BY7xx Shared Management Information\5. BY731 Line_Subs_Final  2018\01 Mike Gaffney\Quality\DPV Into Rattle Road\KW15\[Open Defects into Rattle Test Daily KW15D4.xlsx]BY73X - Assembly (PM)'!$I:$I="Car Locked")+0))/'X:\BY7xx Shared Management Information\5. BY731 Line_Subs_Final  2018\01 Mike Gaffney\Quality\DPV Into Rattle Road\KW15\[Open Defects into Rattle Test Daily KW15D4.xlsx]BY73X - Assembly (PM)'!$C$4</v>
      </c>
      <c r="Q18" s="8" t="e">
        <f t="shared" si="20"/>
        <v>#VALUE!</v>
      </c>
      <c r="R18" s="6" t="str">
        <f t="shared" si="27"/>
        <v>='X:\BY7xx Shared Management Information\5. BY731 Line_Subs_Final  2018\01 Mike Gaffney\Quality\DPV Into Rattle Road\KW15\[Open Defects into Rattle Test Daily KW15D5.xlsx]BY73X - Assembly (PM)'!$C$6</v>
      </c>
      <c r="S18" s="7" t="str">
        <f t="shared" si="36"/>
        <v>=(SUMPRODUCT(('X:\BY7xx Shared Management Information\5. BY731 Line_Subs_Final  2018\01 Mike Gaffney\Quality\DPV Into Rattle Road\KW15\[Open Defects into Rattle Test Daily KW15D5.xlsx]BY73X - Assembly (PM)'!$I:$I="Paintshop")+0)+SUMPRODUCT(('X:\BY7xx Shared Management Information\5. BY731 Line_Subs_Final  2018\01 Mike Gaffney\Quality\DPV Into Rattle Road\KW15\[Open Defects into Rattle Test Daily KW15D5.xlsx]BY73X - Assembly (PM)'!$I:$I="Paint")+0))/'X:\BY7xx Shared Management Information\5. BY731 Line_Subs_Final  2018\01 Mike Gaffney\Quality\DPV Into Rattle Road\KW15\[Open Defects into Rattle Test Daily KW15D5.xlsx]BY73X - Assembly (PM)'!$C$4</v>
      </c>
      <c r="T18" s="7" t="str">
        <f t="shared" si="37"/>
        <v>=(SUMPRODUCT(('X:\BY7xx Shared Management Information\5. BY731 Line_Subs_Final  2018\01 Mike Gaffney\Quality\DPV Into Rattle Road\KW15\[Open Defects into Rattle Test Daily KW15D5.xlsx]BY73X - Assembly (PM)'!$I:$I="Car Locked")+0))/'X:\BY7xx Shared Management Information\5. BY731 Line_Subs_Final  2018\01 Mike Gaffney\Quality\DPV Into Rattle Road\KW15\[Open Defects into Rattle Test Daily KW15D5.xlsx]BY73X - Assembly (PM)'!$C$4</v>
      </c>
      <c r="U18" s="8" t="e">
        <f t="shared" si="21"/>
        <v>#VALUE!</v>
      </c>
      <c r="V18" t="e">
        <f t="shared" si="22"/>
        <v>#DIV/0!</v>
      </c>
      <c r="W18">
        <v>1</v>
      </c>
      <c r="X18">
        <v>0.2</v>
      </c>
      <c r="Y18">
        <v>0.3</v>
      </c>
      <c r="Z18" s="3">
        <v>1.57</v>
      </c>
    </row>
    <row r="19" spans="1:26" x14ac:dyDescent="0.2">
      <c r="A19" t="s">
        <v>6</v>
      </c>
      <c r="B19" s="6" t="str">
        <f t="shared" si="26"/>
        <v>='X:\BY7xx Shared Management Information\5. BY731 Line_Subs_Final  2018\01 Mike Gaffney\Quality\DPV Into Rattle Road\KW16\[Open Defects into Rattle Test Daily KW16D1.xlsx]BY73X - Assembly (PM)'!$C$6</v>
      </c>
      <c r="C19" s="7" t="str">
        <f t="shared" si="28"/>
        <v>=(SUMPRODUCT(('X:\BY7xx Shared Management Information\5. BY731 Line_Subs_Final  2018\01 Mike Gaffney\Quality\DPV Into Rattle Road\KW16\[Open Defects into Rattle Test Daily KW16D1.xlsx]BY73X - Assembly (PM)'!$I:$I="Paintshop")+0)+SUMPRODUCT(('X:\BY7xx Shared Management Information\5. BY731 Line_Subs_Final  2018\01 Mike Gaffney\Quality\DPV Into Rattle Road\KW16\[Open Defects into Rattle Test Daily KW16D1.xlsx]BY73X - Assembly (PM)'!$I:$I="Paint")+0))/'X:\BY7xx Shared Management Information\5. BY731 Line_Subs_Final  2018\01 Mike Gaffney\Quality\DPV Into Rattle Road\KW16\[Open Defects into Rattle Test Daily KW16D1.xlsx]BY73X - Assembly (PM)'!$C$4</v>
      </c>
      <c r="D19" s="7" t="str">
        <f t="shared" si="29"/>
        <v>=(SUMPRODUCT(('X:\BY7xx Shared Management Information\5. BY731 Line_Subs_Final  2018\01 Mike Gaffney\Quality\DPV Into Rattle Road\KW16\[Open Defects into Rattle Test Daily KW16D1.xlsx]BY73X - Assembly (PM)'!$I:$I="Car Locked")+0))/'X:\BY7xx Shared Management Information\5. BY731 Line_Subs_Final  2018\01 Mike Gaffney\Quality\DPV Into Rattle Road\KW16\[Open Defects into Rattle Test Daily KW16D1.xlsx]BY73X - Assembly (PM)'!$C$4</v>
      </c>
      <c r="E19" s="8" t="e">
        <f t="shared" si="17"/>
        <v>#VALUE!</v>
      </c>
      <c r="F19" s="6" t="str">
        <f t="shared" si="27"/>
        <v>='X:\BY7xx Shared Management Information\5. BY731 Line_Subs_Final  2018\01 Mike Gaffney\Quality\DPV Into Rattle Road\KW16\[Open Defects into Rattle Test Daily KW16D2.xlsx]BY73X - Assembly (PM)'!$C$6</v>
      </c>
      <c r="G19" s="7" t="str">
        <f t="shared" si="30"/>
        <v>=(SUMPRODUCT(('X:\BY7xx Shared Management Information\5. BY731 Line_Subs_Final  2018\01 Mike Gaffney\Quality\DPV Into Rattle Road\KW16\[Open Defects into Rattle Test Daily KW16D2.xlsx]BY73X - Assembly (PM)'!$I:$I="Paintshop")+0)+SUMPRODUCT(('X:\BY7xx Shared Management Information\5. BY731 Line_Subs_Final  2018\01 Mike Gaffney\Quality\DPV Into Rattle Road\KW16\[Open Defects into Rattle Test Daily KW16D2.xlsx]BY73X - Assembly (PM)'!$I:$I="Paint")+0))/'X:\BY7xx Shared Management Information\5. BY731 Line_Subs_Final  2018\01 Mike Gaffney\Quality\DPV Into Rattle Road\KW16\[Open Defects into Rattle Test Daily KW16D2.xlsx]BY73X - Assembly (PM)'!$C$4</v>
      </c>
      <c r="H19" s="7" t="str">
        <f t="shared" si="31"/>
        <v>=(SUMPRODUCT(('X:\BY7xx Shared Management Information\5. BY731 Line_Subs_Final  2018\01 Mike Gaffney\Quality\DPV Into Rattle Road\KW16\[Open Defects into Rattle Test Daily KW16D2.xlsx]BY73X - Assembly (PM)'!$I:$I="Car Locked")+0))/'X:\BY7xx Shared Management Information\5. BY731 Line_Subs_Final  2018\01 Mike Gaffney\Quality\DPV Into Rattle Road\KW16\[Open Defects into Rattle Test Daily KW16D2.xlsx]BY73X - Assembly (PM)'!$C$4</v>
      </c>
      <c r="I19" s="8" t="e">
        <f t="shared" si="18"/>
        <v>#VALUE!</v>
      </c>
      <c r="J19" s="6" t="str">
        <f t="shared" si="27"/>
        <v>='X:\BY7xx Shared Management Information\5. BY731 Line_Subs_Final  2018\01 Mike Gaffney\Quality\DPV Into Rattle Road\KW16\[Open Defects into Rattle Test Daily KW16D3.xlsx]BY73X - Assembly (PM)'!$C$6</v>
      </c>
      <c r="K19" s="7" t="str">
        <f t="shared" si="32"/>
        <v>=(SUMPRODUCT(('X:\BY7xx Shared Management Information\5. BY731 Line_Subs_Final  2018\01 Mike Gaffney\Quality\DPV Into Rattle Road\KW16\[Open Defects into Rattle Test Daily KW16D3.xlsx]BY73X - Assembly (PM)'!$I:$I="Paintshop")+0)+SUMPRODUCT(('X:\BY7xx Shared Management Information\5. BY731 Line_Subs_Final  2018\01 Mike Gaffney\Quality\DPV Into Rattle Road\KW16\[Open Defects into Rattle Test Daily KW16D3.xlsx]BY73X - Assembly (PM)'!$I:$I="Paint")+0))/'X:\BY7xx Shared Management Information\5. BY731 Line_Subs_Final  2018\01 Mike Gaffney\Quality\DPV Into Rattle Road\KW16\[Open Defects into Rattle Test Daily KW16D3.xlsx]BY73X - Assembly (PM)'!$C$4</v>
      </c>
      <c r="L19" s="7" t="str">
        <f t="shared" si="33"/>
        <v>=(SUMPRODUCT(('X:\BY7xx Shared Management Information\5. BY731 Line_Subs_Final  2018\01 Mike Gaffney\Quality\DPV Into Rattle Road\KW16\[Open Defects into Rattle Test Daily KW16D3.xlsx]BY73X - Assembly (PM)'!$I:$I="Car Locked")+0))/'X:\BY7xx Shared Management Information\5. BY731 Line_Subs_Final  2018\01 Mike Gaffney\Quality\DPV Into Rattle Road\KW16\[Open Defects into Rattle Test Daily KW16D3.xlsx]BY73X - Assembly (PM)'!$C$4</v>
      </c>
      <c r="M19" s="8" t="e">
        <f t="shared" si="19"/>
        <v>#VALUE!</v>
      </c>
      <c r="N19" s="6" t="str">
        <f t="shared" si="27"/>
        <v>='X:\BY7xx Shared Management Information\5. BY731 Line_Subs_Final  2018\01 Mike Gaffney\Quality\DPV Into Rattle Road\KW16\[Open Defects into Rattle Test Daily KW16D4.xlsx]BY73X - Assembly (PM)'!$C$6</v>
      </c>
      <c r="O19" s="7" t="str">
        <f t="shared" si="34"/>
        <v>=(SUMPRODUCT(('X:\BY7xx Shared Management Information\5. BY731 Line_Subs_Final  2018\01 Mike Gaffney\Quality\DPV Into Rattle Road\KW16\[Open Defects into Rattle Test Daily KW16D4.xlsx]BY73X - Assembly (PM)'!$I:$I="Paintshop")+0)+SUMPRODUCT(('X:\BY7xx Shared Management Information\5. BY731 Line_Subs_Final  2018\01 Mike Gaffney\Quality\DPV Into Rattle Road\KW16\[Open Defects into Rattle Test Daily KW16D4.xlsx]BY73X - Assembly (PM)'!$I:$I="Paint")+0))/'X:\BY7xx Shared Management Information\5. BY731 Line_Subs_Final  2018\01 Mike Gaffney\Quality\DPV Into Rattle Road\KW16\[Open Defects into Rattle Test Daily KW16D4.xlsx]BY73X - Assembly (PM)'!$C$4</v>
      </c>
      <c r="P19" s="7" t="str">
        <f t="shared" si="35"/>
        <v>=(SUMPRODUCT(('X:\BY7xx Shared Management Information\5. BY731 Line_Subs_Final  2018\01 Mike Gaffney\Quality\DPV Into Rattle Road\KW16\[Open Defects into Rattle Test Daily KW16D4.xlsx]BY73X - Assembly (PM)'!$I:$I="Car Locked")+0))/'X:\BY7xx Shared Management Information\5. BY731 Line_Subs_Final  2018\01 Mike Gaffney\Quality\DPV Into Rattle Road\KW16\[Open Defects into Rattle Test Daily KW16D4.xlsx]BY73X - Assembly (PM)'!$C$4</v>
      </c>
      <c r="Q19" s="8" t="e">
        <f t="shared" si="20"/>
        <v>#VALUE!</v>
      </c>
      <c r="R19" s="6" t="str">
        <f t="shared" si="27"/>
        <v>='X:\BY7xx Shared Management Information\5. BY731 Line_Subs_Final  2018\01 Mike Gaffney\Quality\DPV Into Rattle Road\KW16\[Open Defects into Rattle Test Daily KW16D5.xlsx]BY73X - Assembly (PM)'!$C$6</v>
      </c>
      <c r="S19" s="7" t="str">
        <f t="shared" si="36"/>
        <v>=(SUMPRODUCT(('X:\BY7xx Shared Management Information\5. BY731 Line_Subs_Final  2018\01 Mike Gaffney\Quality\DPV Into Rattle Road\KW16\[Open Defects into Rattle Test Daily KW16D5.xlsx]BY73X - Assembly (PM)'!$I:$I="Paintshop")+0)+SUMPRODUCT(('X:\BY7xx Shared Management Information\5. BY731 Line_Subs_Final  2018\01 Mike Gaffney\Quality\DPV Into Rattle Road\KW16\[Open Defects into Rattle Test Daily KW16D5.xlsx]BY73X - Assembly (PM)'!$I:$I="Paint")+0))/'X:\BY7xx Shared Management Information\5. BY731 Line_Subs_Final  2018\01 Mike Gaffney\Quality\DPV Into Rattle Road\KW16\[Open Defects into Rattle Test Daily KW16D5.xlsx]BY73X - Assembly (PM)'!$C$4</v>
      </c>
      <c r="T19" s="7" t="str">
        <f t="shared" si="37"/>
        <v>=(SUMPRODUCT(('X:\BY7xx Shared Management Information\5. BY731 Line_Subs_Final  2018\01 Mike Gaffney\Quality\DPV Into Rattle Road\KW16\[Open Defects into Rattle Test Daily KW16D5.xlsx]BY73X - Assembly (PM)'!$I:$I="Car Locked")+0))/'X:\BY7xx Shared Management Information\5. BY731 Line_Subs_Final  2018\01 Mike Gaffney\Quality\DPV Into Rattle Road\KW16\[Open Defects into Rattle Test Daily KW16D5.xlsx]BY73X - Assembly (PM)'!$C$4</v>
      </c>
      <c r="U19" s="8" t="e">
        <f t="shared" si="21"/>
        <v>#VALUE!</v>
      </c>
      <c r="V19" t="e">
        <f t="shared" si="22"/>
        <v>#DIV/0!</v>
      </c>
      <c r="W19">
        <v>1</v>
      </c>
      <c r="X19">
        <v>0.2</v>
      </c>
      <c r="Y19">
        <v>0.3</v>
      </c>
      <c r="Z19" s="3">
        <v>1.57</v>
      </c>
    </row>
    <row r="20" spans="1:26" x14ac:dyDescent="0.2">
      <c r="A20" t="s">
        <v>7</v>
      </c>
      <c r="B20" s="6" t="str">
        <f t="shared" si="26"/>
        <v>='X:\BY7xx Shared Management Information\5. BY731 Line_Subs_Final  2018\01 Mike Gaffney\Quality\DPV Into Rattle Road\KW17\[Open Defects into Rattle Test Daily KW17D1.xlsx]BY73X - Assembly (PM)'!$C$6</v>
      </c>
      <c r="C20" s="7" t="str">
        <f t="shared" si="28"/>
        <v>=(SUMPRODUCT(('X:\BY7xx Shared Management Information\5. BY731 Line_Subs_Final  2018\01 Mike Gaffney\Quality\DPV Into Rattle Road\KW17\[Open Defects into Rattle Test Daily KW17D1.xlsx]BY73X - Assembly (PM)'!$I:$I="Paintshop")+0)+SUMPRODUCT(('X:\BY7xx Shared Management Information\5. BY731 Line_Subs_Final  2018\01 Mike Gaffney\Quality\DPV Into Rattle Road\KW17\[Open Defects into Rattle Test Daily KW17D1.xlsx]BY73X - Assembly (PM)'!$I:$I="Paint")+0))/'X:\BY7xx Shared Management Information\5. BY731 Line_Subs_Final  2018\01 Mike Gaffney\Quality\DPV Into Rattle Road\KW17\[Open Defects into Rattle Test Daily KW17D1.xlsx]BY73X - Assembly (PM)'!$C$4</v>
      </c>
      <c r="D20" s="7" t="str">
        <f t="shared" si="29"/>
        <v>=(SUMPRODUCT(('X:\BY7xx Shared Management Information\5. BY731 Line_Subs_Final  2018\01 Mike Gaffney\Quality\DPV Into Rattle Road\KW17\[Open Defects into Rattle Test Daily KW17D1.xlsx]BY73X - Assembly (PM)'!$I:$I="Car Locked")+0))/'X:\BY7xx Shared Management Information\5. BY731 Line_Subs_Final  2018\01 Mike Gaffney\Quality\DPV Into Rattle Road\KW17\[Open Defects into Rattle Test Daily KW17D1.xlsx]BY73X - Assembly (PM)'!$C$4</v>
      </c>
      <c r="E20" s="8" t="e">
        <f t="shared" si="17"/>
        <v>#VALUE!</v>
      </c>
      <c r="F20" s="6" t="str">
        <f t="shared" si="27"/>
        <v>='X:\BY7xx Shared Management Information\5. BY731 Line_Subs_Final  2018\01 Mike Gaffney\Quality\DPV Into Rattle Road\KW17\[Open Defects into Rattle Test Daily KW17D2.xlsx]BY73X - Assembly (PM)'!$C$6</v>
      </c>
      <c r="G20" s="7" t="str">
        <f t="shared" si="30"/>
        <v>=(SUMPRODUCT(('X:\BY7xx Shared Management Information\5. BY731 Line_Subs_Final  2018\01 Mike Gaffney\Quality\DPV Into Rattle Road\KW17\[Open Defects into Rattle Test Daily KW17D2.xlsx]BY73X - Assembly (PM)'!$I:$I="Paintshop")+0)+SUMPRODUCT(('X:\BY7xx Shared Management Information\5. BY731 Line_Subs_Final  2018\01 Mike Gaffney\Quality\DPV Into Rattle Road\KW17\[Open Defects into Rattle Test Daily KW17D2.xlsx]BY73X - Assembly (PM)'!$I:$I="Paint")+0))/'X:\BY7xx Shared Management Information\5. BY731 Line_Subs_Final  2018\01 Mike Gaffney\Quality\DPV Into Rattle Road\KW17\[Open Defects into Rattle Test Daily KW17D2.xlsx]BY73X - Assembly (PM)'!$C$4</v>
      </c>
      <c r="H20" s="7" t="str">
        <f t="shared" si="31"/>
        <v>=(SUMPRODUCT(('X:\BY7xx Shared Management Information\5. BY731 Line_Subs_Final  2018\01 Mike Gaffney\Quality\DPV Into Rattle Road\KW17\[Open Defects into Rattle Test Daily KW17D2.xlsx]BY73X - Assembly (PM)'!$I:$I="Car Locked")+0))/'X:\BY7xx Shared Management Information\5. BY731 Line_Subs_Final  2018\01 Mike Gaffney\Quality\DPV Into Rattle Road\KW17\[Open Defects into Rattle Test Daily KW17D2.xlsx]BY73X - Assembly (PM)'!$C$4</v>
      </c>
      <c r="I20" s="8" t="e">
        <f t="shared" si="18"/>
        <v>#VALUE!</v>
      </c>
      <c r="J20" s="6" t="str">
        <f t="shared" si="27"/>
        <v>='X:\BY7xx Shared Management Information\5. BY731 Line_Subs_Final  2018\01 Mike Gaffney\Quality\DPV Into Rattle Road\KW17\[Open Defects into Rattle Test Daily KW17D3.xlsx]BY73X - Assembly (PM)'!$C$6</v>
      </c>
      <c r="K20" s="7" t="str">
        <f t="shared" si="32"/>
        <v>=(SUMPRODUCT(('X:\BY7xx Shared Management Information\5. BY731 Line_Subs_Final  2018\01 Mike Gaffney\Quality\DPV Into Rattle Road\KW17\[Open Defects into Rattle Test Daily KW17D3.xlsx]BY73X - Assembly (PM)'!$I:$I="Paintshop")+0)+SUMPRODUCT(('X:\BY7xx Shared Management Information\5. BY731 Line_Subs_Final  2018\01 Mike Gaffney\Quality\DPV Into Rattle Road\KW17\[Open Defects into Rattle Test Daily KW17D3.xlsx]BY73X - Assembly (PM)'!$I:$I="Paint")+0))/'X:\BY7xx Shared Management Information\5. BY731 Line_Subs_Final  2018\01 Mike Gaffney\Quality\DPV Into Rattle Road\KW17\[Open Defects into Rattle Test Daily KW17D3.xlsx]BY73X - Assembly (PM)'!$C$4</v>
      </c>
      <c r="L20" s="7" t="str">
        <f t="shared" si="33"/>
        <v>=(SUMPRODUCT(('X:\BY7xx Shared Management Information\5. BY731 Line_Subs_Final  2018\01 Mike Gaffney\Quality\DPV Into Rattle Road\KW17\[Open Defects into Rattle Test Daily KW17D3.xlsx]BY73X - Assembly (PM)'!$I:$I="Car Locked")+0))/'X:\BY7xx Shared Management Information\5. BY731 Line_Subs_Final  2018\01 Mike Gaffney\Quality\DPV Into Rattle Road\KW17\[Open Defects into Rattle Test Daily KW17D3.xlsx]BY73X - Assembly (PM)'!$C$4</v>
      </c>
      <c r="M20" s="8" t="e">
        <f t="shared" si="19"/>
        <v>#VALUE!</v>
      </c>
      <c r="N20" s="6" t="str">
        <f t="shared" si="27"/>
        <v>='X:\BY7xx Shared Management Information\5. BY731 Line_Subs_Final  2018\01 Mike Gaffney\Quality\DPV Into Rattle Road\KW17\[Open Defects into Rattle Test Daily KW17D4.xlsx]BY73X - Assembly (PM)'!$C$6</v>
      </c>
      <c r="O20" s="7" t="str">
        <f t="shared" si="34"/>
        <v>=(SUMPRODUCT(('X:\BY7xx Shared Management Information\5. BY731 Line_Subs_Final  2018\01 Mike Gaffney\Quality\DPV Into Rattle Road\KW17\[Open Defects into Rattle Test Daily KW17D4.xlsx]BY73X - Assembly (PM)'!$I:$I="Paintshop")+0)+SUMPRODUCT(('X:\BY7xx Shared Management Information\5. BY731 Line_Subs_Final  2018\01 Mike Gaffney\Quality\DPV Into Rattle Road\KW17\[Open Defects into Rattle Test Daily KW17D4.xlsx]BY73X - Assembly (PM)'!$I:$I="Paint")+0))/'X:\BY7xx Shared Management Information\5. BY731 Line_Subs_Final  2018\01 Mike Gaffney\Quality\DPV Into Rattle Road\KW17\[Open Defects into Rattle Test Daily KW17D4.xlsx]BY73X - Assembly (PM)'!$C$4</v>
      </c>
      <c r="P20" s="7" t="str">
        <f t="shared" si="35"/>
        <v>=(SUMPRODUCT(('X:\BY7xx Shared Management Information\5. BY731 Line_Subs_Final  2018\01 Mike Gaffney\Quality\DPV Into Rattle Road\KW17\[Open Defects into Rattle Test Daily KW17D4.xlsx]BY73X - Assembly (PM)'!$I:$I="Car Locked")+0))/'X:\BY7xx Shared Management Information\5. BY731 Line_Subs_Final  2018\01 Mike Gaffney\Quality\DPV Into Rattle Road\KW17\[Open Defects into Rattle Test Daily KW17D4.xlsx]BY73X - Assembly (PM)'!$C$4</v>
      </c>
      <c r="Q20" s="8" t="e">
        <f t="shared" si="20"/>
        <v>#VALUE!</v>
      </c>
      <c r="R20" s="6" t="str">
        <f t="shared" si="27"/>
        <v>='X:\BY7xx Shared Management Information\5. BY731 Line_Subs_Final  2018\01 Mike Gaffney\Quality\DPV Into Rattle Road\KW17\[Open Defects into Rattle Test Daily KW17D5.xlsx]BY73X - Assembly (PM)'!$C$6</v>
      </c>
      <c r="S20" s="7" t="str">
        <f t="shared" si="36"/>
        <v>=(SUMPRODUCT(('X:\BY7xx Shared Management Information\5. BY731 Line_Subs_Final  2018\01 Mike Gaffney\Quality\DPV Into Rattle Road\KW17\[Open Defects into Rattle Test Daily KW17D5.xlsx]BY73X - Assembly (PM)'!$I:$I="Paintshop")+0)+SUMPRODUCT(('X:\BY7xx Shared Management Information\5. BY731 Line_Subs_Final  2018\01 Mike Gaffney\Quality\DPV Into Rattle Road\KW17\[Open Defects into Rattle Test Daily KW17D5.xlsx]BY73X - Assembly (PM)'!$I:$I="Paint")+0))/'X:\BY7xx Shared Management Information\5. BY731 Line_Subs_Final  2018\01 Mike Gaffney\Quality\DPV Into Rattle Road\KW17\[Open Defects into Rattle Test Daily KW17D5.xlsx]BY73X - Assembly (PM)'!$C$4</v>
      </c>
      <c r="T20" s="7" t="str">
        <f t="shared" si="37"/>
        <v>=(SUMPRODUCT(('X:\BY7xx Shared Management Information\5. BY731 Line_Subs_Final  2018\01 Mike Gaffney\Quality\DPV Into Rattle Road\KW17\[Open Defects into Rattle Test Daily KW17D5.xlsx]BY73X - Assembly (PM)'!$I:$I="Car Locked")+0))/'X:\BY7xx Shared Management Information\5. BY731 Line_Subs_Final  2018\01 Mike Gaffney\Quality\DPV Into Rattle Road\KW17\[Open Defects into Rattle Test Daily KW17D5.xlsx]BY73X - Assembly (PM)'!$C$4</v>
      </c>
      <c r="U20" s="8" t="e">
        <f t="shared" si="21"/>
        <v>#VALUE!</v>
      </c>
      <c r="V20" t="e">
        <f t="shared" si="22"/>
        <v>#DIV/0!</v>
      </c>
      <c r="W20" t="e">
        <f t="shared" si="23"/>
        <v>#DIV/0!</v>
      </c>
      <c r="X20" t="e">
        <f t="shared" si="24"/>
        <v>#DIV/0!</v>
      </c>
      <c r="Y20" t="e">
        <f t="shared" si="25"/>
        <v>#VALUE!</v>
      </c>
      <c r="Z20" s="3">
        <v>1.57</v>
      </c>
    </row>
    <row r="21" spans="1:26" x14ac:dyDescent="0.2">
      <c r="A21" t="s">
        <v>8</v>
      </c>
      <c r="B21" s="6" t="str">
        <f t="shared" si="26"/>
        <v>='X:\BY7xx Shared Management Information\5. BY731 Line_Subs_Final  2018\01 Mike Gaffney\Quality\DPV Into Rattle Road\KW18\[Open Defects into Rattle Test Daily KW18D1.xlsx]BY73X - Assembly (PM)'!$C$6</v>
      </c>
      <c r="C21" s="7" t="str">
        <f t="shared" si="28"/>
        <v>=(SUMPRODUCT(('X:\BY7xx Shared Management Information\5. BY731 Line_Subs_Final  2018\01 Mike Gaffney\Quality\DPV Into Rattle Road\KW18\[Open Defects into Rattle Test Daily KW18D1.xlsx]BY73X - Assembly (PM)'!$I:$I="Paintshop")+0)+SUMPRODUCT(('X:\BY7xx Shared Management Information\5. BY731 Line_Subs_Final  2018\01 Mike Gaffney\Quality\DPV Into Rattle Road\KW18\[Open Defects into Rattle Test Daily KW18D1.xlsx]BY73X - Assembly (PM)'!$I:$I="Paint")+0))/'X:\BY7xx Shared Management Information\5. BY731 Line_Subs_Final  2018\01 Mike Gaffney\Quality\DPV Into Rattle Road\KW18\[Open Defects into Rattle Test Daily KW18D1.xlsx]BY73X - Assembly (PM)'!$C$4</v>
      </c>
      <c r="D21" s="7" t="str">
        <f t="shared" si="29"/>
        <v>=(SUMPRODUCT(('X:\BY7xx Shared Management Information\5. BY731 Line_Subs_Final  2018\01 Mike Gaffney\Quality\DPV Into Rattle Road\KW18\[Open Defects into Rattle Test Daily KW18D1.xlsx]BY73X - Assembly (PM)'!$I:$I="Car Locked")+0))/'X:\BY7xx Shared Management Information\5. BY731 Line_Subs_Final  2018\01 Mike Gaffney\Quality\DPV Into Rattle Road\KW18\[Open Defects into Rattle Test Daily KW18D1.xlsx]BY73X - Assembly (PM)'!$C$4</v>
      </c>
      <c r="E21" s="8" t="e">
        <f t="shared" si="17"/>
        <v>#VALUE!</v>
      </c>
      <c r="F21" s="6" t="str">
        <f t="shared" si="27"/>
        <v>='X:\BY7xx Shared Management Information\5. BY731 Line_Subs_Final  2018\01 Mike Gaffney\Quality\DPV Into Rattle Road\KW18\[Open Defects into Rattle Test Daily KW18D2.xlsx]BY73X - Assembly (PM)'!$C$6</v>
      </c>
      <c r="G21" s="7" t="str">
        <f t="shared" si="30"/>
        <v>=(SUMPRODUCT(('X:\BY7xx Shared Management Information\5. BY731 Line_Subs_Final  2018\01 Mike Gaffney\Quality\DPV Into Rattle Road\KW18\[Open Defects into Rattle Test Daily KW18D2.xlsx]BY73X - Assembly (PM)'!$I:$I="Paintshop")+0)+SUMPRODUCT(('X:\BY7xx Shared Management Information\5. BY731 Line_Subs_Final  2018\01 Mike Gaffney\Quality\DPV Into Rattle Road\KW18\[Open Defects into Rattle Test Daily KW18D2.xlsx]BY73X - Assembly (PM)'!$I:$I="Paint")+0))/'X:\BY7xx Shared Management Information\5. BY731 Line_Subs_Final  2018\01 Mike Gaffney\Quality\DPV Into Rattle Road\KW18\[Open Defects into Rattle Test Daily KW18D2.xlsx]BY73X - Assembly (PM)'!$C$4</v>
      </c>
      <c r="H21" s="7" t="str">
        <f t="shared" si="31"/>
        <v>=(SUMPRODUCT(('X:\BY7xx Shared Management Information\5. BY731 Line_Subs_Final  2018\01 Mike Gaffney\Quality\DPV Into Rattle Road\KW18\[Open Defects into Rattle Test Daily KW18D2.xlsx]BY73X - Assembly (PM)'!$I:$I="Car Locked")+0))/'X:\BY7xx Shared Management Information\5. BY731 Line_Subs_Final  2018\01 Mike Gaffney\Quality\DPV Into Rattle Road\KW18\[Open Defects into Rattle Test Daily KW18D2.xlsx]BY73X - Assembly (PM)'!$C$4</v>
      </c>
      <c r="I21" s="8" t="e">
        <f t="shared" si="18"/>
        <v>#VALUE!</v>
      </c>
      <c r="J21" s="6" t="str">
        <f t="shared" si="27"/>
        <v>='X:\BY7xx Shared Management Information\5. BY731 Line_Subs_Final  2018\01 Mike Gaffney\Quality\DPV Into Rattle Road\KW18\[Open Defects into Rattle Test Daily KW18D3.xlsx]BY73X - Assembly (PM)'!$C$6</v>
      </c>
      <c r="K21" s="7" t="str">
        <f t="shared" si="32"/>
        <v>=(SUMPRODUCT(('X:\BY7xx Shared Management Information\5. BY731 Line_Subs_Final  2018\01 Mike Gaffney\Quality\DPV Into Rattle Road\KW18\[Open Defects into Rattle Test Daily KW18D3.xlsx]BY73X - Assembly (PM)'!$I:$I="Paintshop")+0)+SUMPRODUCT(('X:\BY7xx Shared Management Information\5. BY731 Line_Subs_Final  2018\01 Mike Gaffney\Quality\DPV Into Rattle Road\KW18\[Open Defects into Rattle Test Daily KW18D3.xlsx]BY73X - Assembly (PM)'!$I:$I="Paint")+0))/'X:\BY7xx Shared Management Information\5. BY731 Line_Subs_Final  2018\01 Mike Gaffney\Quality\DPV Into Rattle Road\KW18\[Open Defects into Rattle Test Daily KW18D3.xlsx]BY73X - Assembly (PM)'!$C$4</v>
      </c>
      <c r="L21" s="7" t="str">
        <f t="shared" si="33"/>
        <v>=(SUMPRODUCT(('X:\BY7xx Shared Management Information\5. BY731 Line_Subs_Final  2018\01 Mike Gaffney\Quality\DPV Into Rattle Road\KW18\[Open Defects into Rattle Test Daily KW18D3.xlsx]BY73X - Assembly (PM)'!$I:$I="Car Locked")+0))/'X:\BY7xx Shared Management Information\5. BY731 Line_Subs_Final  2018\01 Mike Gaffney\Quality\DPV Into Rattle Road\KW18\[Open Defects into Rattle Test Daily KW18D3.xlsx]BY73X - Assembly (PM)'!$C$4</v>
      </c>
      <c r="M21" s="8" t="e">
        <f t="shared" si="19"/>
        <v>#VALUE!</v>
      </c>
      <c r="N21" s="6" t="str">
        <f t="shared" si="27"/>
        <v>='X:\BY7xx Shared Management Information\5. BY731 Line_Subs_Final  2018\01 Mike Gaffney\Quality\DPV Into Rattle Road\KW18\[Open Defects into Rattle Test Daily KW18D4.xlsx]BY73X - Assembly (PM)'!$C$6</v>
      </c>
      <c r="O21" s="7" t="str">
        <f t="shared" si="34"/>
        <v>=(SUMPRODUCT(('X:\BY7xx Shared Management Information\5. BY731 Line_Subs_Final  2018\01 Mike Gaffney\Quality\DPV Into Rattle Road\KW18\[Open Defects into Rattle Test Daily KW18D4.xlsx]BY73X - Assembly (PM)'!$I:$I="Paintshop")+0)+SUMPRODUCT(('X:\BY7xx Shared Management Information\5. BY731 Line_Subs_Final  2018\01 Mike Gaffney\Quality\DPV Into Rattle Road\KW18\[Open Defects into Rattle Test Daily KW18D4.xlsx]BY73X - Assembly (PM)'!$I:$I="Paint")+0))/'X:\BY7xx Shared Management Information\5. BY731 Line_Subs_Final  2018\01 Mike Gaffney\Quality\DPV Into Rattle Road\KW18\[Open Defects into Rattle Test Daily KW18D4.xlsx]BY73X - Assembly (PM)'!$C$4</v>
      </c>
      <c r="P21" s="7" t="str">
        <f t="shared" si="35"/>
        <v>=(SUMPRODUCT(('X:\BY7xx Shared Management Information\5. BY731 Line_Subs_Final  2018\01 Mike Gaffney\Quality\DPV Into Rattle Road\KW18\[Open Defects into Rattle Test Daily KW18D4.xlsx]BY73X - Assembly (PM)'!$I:$I="Car Locked")+0))/'X:\BY7xx Shared Management Information\5. BY731 Line_Subs_Final  2018\01 Mike Gaffney\Quality\DPV Into Rattle Road\KW18\[Open Defects into Rattle Test Daily KW18D4.xlsx]BY73X - Assembly (PM)'!$C$4</v>
      </c>
      <c r="Q21" s="8" t="e">
        <f t="shared" si="20"/>
        <v>#VALUE!</v>
      </c>
      <c r="R21" s="6" t="str">
        <f t="shared" si="27"/>
        <v>='X:\BY7xx Shared Management Information\5. BY731 Line_Subs_Final  2018\01 Mike Gaffney\Quality\DPV Into Rattle Road\KW18\[Open Defects into Rattle Test Daily KW18D5.xlsx]BY73X - Assembly (PM)'!$C$6</v>
      </c>
      <c r="S21" s="7" t="str">
        <f t="shared" si="36"/>
        <v>=(SUMPRODUCT(('X:\BY7xx Shared Management Information\5. BY731 Line_Subs_Final  2018\01 Mike Gaffney\Quality\DPV Into Rattle Road\KW18\[Open Defects into Rattle Test Daily KW18D5.xlsx]BY73X - Assembly (PM)'!$I:$I="Paintshop")+0)+SUMPRODUCT(('X:\BY7xx Shared Management Information\5. BY731 Line_Subs_Final  2018\01 Mike Gaffney\Quality\DPV Into Rattle Road\KW18\[Open Defects into Rattle Test Daily KW18D5.xlsx]BY73X - Assembly (PM)'!$I:$I="Paint")+0))/'X:\BY7xx Shared Management Information\5. BY731 Line_Subs_Final  2018\01 Mike Gaffney\Quality\DPV Into Rattle Road\KW18\[Open Defects into Rattle Test Daily KW18D5.xlsx]BY73X - Assembly (PM)'!$C$4</v>
      </c>
      <c r="T21" s="7" t="str">
        <f t="shared" si="37"/>
        <v>=(SUMPRODUCT(('X:\BY7xx Shared Management Information\5. BY731 Line_Subs_Final  2018\01 Mike Gaffney\Quality\DPV Into Rattle Road\KW18\[Open Defects into Rattle Test Daily KW18D5.xlsx]BY73X - Assembly (PM)'!$I:$I="Car Locked")+0))/'X:\BY7xx Shared Management Information\5. BY731 Line_Subs_Final  2018\01 Mike Gaffney\Quality\DPV Into Rattle Road\KW18\[Open Defects into Rattle Test Daily KW18D5.xlsx]BY73X - Assembly (PM)'!$C$4</v>
      </c>
      <c r="U21" s="8" t="e">
        <f t="shared" si="21"/>
        <v>#VALUE!</v>
      </c>
      <c r="V21" t="e">
        <f t="shared" si="22"/>
        <v>#DIV/0!</v>
      </c>
      <c r="W21" t="e">
        <f t="shared" si="23"/>
        <v>#DIV/0!</v>
      </c>
      <c r="X21" t="e">
        <f t="shared" si="24"/>
        <v>#DIV/0!</v>
      </c>
      <c r="Y21" t="e">
        <f t="shared" si="25"/>
        <v>#VALUE!</v>
      </c>
      <c r="Z21" s="3">
        <v>1.57</v>
      </c>
    </row>
    <row r="22" spans="1:26" x14ac:dyDescent="0.2">
      <c r="A22" t="s">
        <v>9</v>
      </c>
      <c r="B22" s="6" t="str">
        <f t="shared" si="26"/>
        <v>='X:\BY7xx Shared Management Information\5. BY731 Line_Subs_Final  2018\01 Mike Gaffney\Quality\DPV Into Rattle Road\KW19\[Open Defects into Rattle Test Daily KW19D1.xlsx]BY73X - Assembly (PM)'!$C$6</v>
      </c>
      <c r="C22" s="7" t="str">
        <f t="shared" si="28"/>
        <v>=(SUMPRODUCT(('X:\BY7xx Shared Management Information\5. BY731 Line_Subs_Final  2018\01 Mike Gaffney\Quality\DPV Into Rattle Road\KW19\[Open Defects into Rattle Test Daily KW19D1.xlsx]BY73X - Assembly (PM)'!$I:$I="Paintshop")+0)+SUMPRODUCT(('X:\BY7xx Shared Management Information\5. BY731 Line_Subs_Final  2018\01 Mike Gaffney\Quality\DPV Into Rattle Road\KW19\[Open Defects into Rattle Test Daily KW19D1.xlsx]BY73X - Assembly (PM)'!$I:$I="Paint")+0))/'X:\BY7xx Shared Management Information\5. BY731 Line_Subs_Final  2018\01 Mike Gaffney\Quality\DPV Into Rattle Road\KW19\[Open Defects into Rattle Test Daily KW19D1.xlsx]BY73X - Assembly (PM)'!$C$4</v>
      </c>
      <c r="D22" s="7" t="str">
        <f t="shared" si="29"/>
        <v>=(SUMPRODUCT(('X:\BY7xx Shared Management Information\5. BY731 Line_Subs_Final  2018\01 Mike Gaffney\Quality\DPV Into Rattle Road\KW19\[Open Defects into Rattle Test Daily KW19D1.xlsx]BY73X - Assembly (PM)'!$I:$I="Car Locked")+0))/'X:\BY7xx Shared Management Information\5. BY731 Line_Subs_Final  2018\01 Mike Gaffney\Quality\DPV Into Rattle Road\KW19\[Open Defects into Rattle Test Daily KW19D1.xlsx]BY73X - Assembly (PM)'!$C$4</v>
      </c>
      <c r="E22" s="8" t="e">
        <f t="shared" si="17"/>
        <v>#VALUE!</v>
      </c>
      <c r="F22" s="6" t="str">
        <f t="shared" si="27"/>
        <v>='X:\BY7xx Shared Management Information\5. BY731 Line_Subs_Final  2018\01 Mike Gaffney\Quality\DPV Into Rattle Road\KW19\[Open Defects into Rattle Test Daily KW19D2.xlsx]BY73X - Assembly (PM)'!$C$6</v>
      </c>
      <c r="G22" s="7" t="str">
        <f t="shared" si="30"/>
        <v>=(SUMPRODUCT(('X:\BY7xx Shared Management Information\5. BY731 Line_Subs_Final  2018\01 Mike Gaffney\Quality\DPV Into Rattle Road\KW19\[Open Defects into Rattle Test Daily KW19D2.xlsx]BY73X - Assembly (PM)'!$I:$I="Paintshop")+0)+SUMPRODUCT(('X:\BY7xx Shared Management Information\5. BY731 Line_Subs_Final  2018\01 Mike Gaffney\Quality\DPV Into Rattle Road\KW19\[Open Defects into Rattle Test Daily KW19D2.xlsx]BY73X - Assembly (PM)'!$I:$I="Paint")+0))/'X:\BY7xx Shared Management Information\5. BY731 Line_Subs_Final  2018\01 Mike Gaffney\Quality\DPV Into Rattle Road\KW19\[Open Defects into Rattle Test Daily KW19D2.xlsx]BY73X - Assembly (PM)'!$C$4</v>
      </c>
      <c r="H22" s="7" t="str">
        <f t="shared" si="31"/>
        <v>=(SUMPRODUCT(('X:\BY7xx Shared Management Information\5. BY731 Line_Subs_Final  2018\01 Mike Gaffney\Quality\DPV Into Rattle Road\KW19\[Open Defects into Rattle Test Daily KW19D2.xlsx]BY73X - Assembly (PM)'!$I:$I="Car Locked")+0))/'X:\BY7xx Shared Management Information\5. BY731 Line_Subs_Final  2018\01 Mike Gaffney\Quality\DPV Into Rattle Road\KW19\[Open Defects into Rattle Test Daily KW19D2.xlsx]BY73X - Assembly (PM)'!$C$4</v>
      </c>
      <c r="I22" s="8" t="e">
        <f t="shared" si="18"/>
        <v>#VALUE!</v>
      </c>
      <c r="J22" s="6" t="str">
        <f t="shared" si="27"/>
        <v>='X:\BY7xx Shared Management Information\5. BY731 Line_Subs_Final  2018\01 Mike Gaffney\Quality\DPV Into Rattle Road\KW19\[Open Defects into Rattle Test Daily KW19D3.xlsx]BY73X - Assembly (PM)'!$C$6</v>
      </c>
      <c r="K22" s="7" t="str">
        <f t="shared" si="32"/>
        <v>=(SUMPRODUCT(('X:\BY7xx Shared Management Information\5. BY731 Line_Subs_Final  2018\01 Mike Gaffney\Quality\DPV Into Rattle Road\KW19\[Open Defects into Rattle Test Daily KW19D3.xlsx]BY73X - Assembly (PM)'!$I:$I="Paintshop")+0)+SUMPRODUCT(('X:\BY7xx Shared Management Information\5. BY731 Line_Subs_Final  2018\01 Mike Gaffney\Quality\DPV Into Rattle Road\KW19\[Open Defects into Rattle Test Daily KW19D3.xlsx]BY73X - Assembly (PM)'!$I:$I="Paint")+0))/'X:\BY7xx Shared Management Information\5. BY731 Line_Subs_Final  2018\01 Mike Gaffney\Quality\DPV Into Rattle Road\KW19\[Open Defects into Rattle Test Daily KW19D3.xlsx]BY73X - Assembly (PM)'!$C$4</v>
      </c>
      <c r="L22" s="7" t="str">
        <f t="shared" si="33"/>
        <v>=(SUMPRODUCT(('X:\BY7xx Shared Management Information\5. BY731 Line_Subs_Final  2018\01 Mike Gaffney\Quality\DPV Into Rattle Road\KW19\[Open Defects into Rattle Test Daily KW19D3.xlsx]BY73X - Assembly (PM)'!$I:$I="Car Locked")+0))/'X:\BY7xx Shared Management Information\5. BY731 Line_Subs_Final  2018\01 Mike Gaffney\Quality\DPV Into Rattle Road\KW19\[Open Defects into Rattle Test Daily KW19D3.xlsx]BY73X - Assembly (PM)'!$C$4</v>
      </c>
      <c r="M22" s="8" t="e">
        <f t="shared" si="19"/>
        <v>#VALUE!</v>
      </c>
      <c r="N22" s="6" t="str">
        <f t="shared" si="27"/>
        <v>='X:\BY7xx Shared Management Information\5. BY731 Line_Subs_Final  2018\01 Mike Gaffney\Quality\DPV Into Rattle Road\KW19\[Open Defects into Rattle Test Daily KW19D4.xlsx]BY73X - Assembly (PM)'!$C$6</v>
      </c>
      <c r="O22" s="7" t="str">
        <f t="shared" si="34"/>
        <v>=(SUMPRODUCT(('X:\BY7xx Shared Management Information\5. BY731 Line_Subs_Final  2018\01 Mike Gaffney\Quality\DPV Into Rattle Road\KW19\[Open Defects into Rattle Test Daily KW19D4.xlsx]BY73X - Assembly (PM)'!$I:$I="Paintshop")+0)+SUMPRODUCT(('X:\BY7xx Shared Management Information\5. BY731 Line_Subs_Final  2018\01 Mike Gaffney\Quality\DPV Into Rattle Road\KW19\[Open Defects into Rattle Test Daily KW19D4.xlsx]BY73X - Assembly (PM)'!$I:$I="Paint")+0))/'X:\BY7xx Shared Management Information\5. BY731 Line_Subs_Final  2018\01 Mike Gaffney\Quality\DPV Into Rattle Road\KW19\[Open Defects into Rattle Test Daily KW19D4.xlsx]BY73X - Assembly (PM)'!$C$4</v>
      </c>
      <c r="P22" s="7" t="str">
        <f t="shared" si="35"/>
        <v>=(SUMPRODUCT(('X:\BY7xx Shared Management Information\5. BY731 Line_Subs_Final  2018\01 Mike Gaffney\Quality\DPV Into Rattle Road\KW19\[Open Defects into Rattle Test Daily KW19D4.xlsx]BY73X - Assembly (PM)'!$I:$I="Car Locked")+0))/'X:\BY7xx Shared Management Information\5. BY731 Line_Subs_Final  2018\01 Mike Gaffney\Quality\DPV Into Rattle Road\KW19\[Open Defects into Rattle Test Daily KW19D4.xlsx]BY73X - Assembly (PM)'!$C$4</v>
      </c>
      <c r="Q22" s="8" t="e">
        <f t="shared" si="20"/>
        <v>#VALUE!</v>
      </c>
      <c r="R22" s="6" t="str">
        <f t="shared" si="27"/>
        <v>='X:\BY7xx Shared Management Information\5. BY731 Line_Subs_Final  2018\01 Mike Gaffney\Quality\DPV Into Rattle Road\KW19\[Open Defects into Rattle Test Daily KW19D5.xlsx]BY73X - Assembly (PM)'!$C$6</v>
      </c>
      <c r="S22" s="7" t="str">
        <f t="shared" si="36"/>
        <v>=(SUMPRODUCT(('X:\BY7xx Shared Management Information\5. BY731 Line_Subs_Final  2018\01 Mike Gaffney\Quality\DPV Into Rattle Road\KW19\[Open Defects into Rattle Test Daily KW19D5.xlsx]BY73X - Assembly (PM)'!$I:$I="Paintshop")+0)+SUMPRODUCT(('X:\BY7xx Shared Management Information\5. BY731 Line_Subs_Final  2018\01 Mike Gaffney\Quality\DPV Into Rattle Road\KW19\[Open Defects into Rattle Test Daily KW19D5.xlsx]BY73X - Assembly (PM)'!$I:$I="Paint")+0))/'X:\BY7xx Shared Management Information\5. BY731 Line_Subs_Final  2018\01 Mike Gaffney\Quality\DPV Into Rattle Road\KW19\[Open Defects into Rattle Test Daily KW19D5.xlsx]BY73X - Assembly (PM)'!$C$4</v>
      </c>
      <c r="T22" s="7" t="str">
        <f t="shared" si="37"/>
        <v>=(SUMPRODUCT(('X:\BY7xx Shared Management Information\5. BY731 Line_Subs_Final  2018\01 Mike Gaffney\Quality\DPV Into Rattle Road\KW19\[Open Defects into Rattle Test Daily KW19D5.xlsx]BY73X - Assembly (PM)'!$I:$I="Car Locked")+0))/'X:\BY7xx Shared Management Information\5. BY731 Line_Subs_Final  2018\01 Mike Gaffney\Quality\DPV Into Rattle Road\KW19\[Open Defects into Rattle Test Daily KW19D5.xlsx]BY73X - Assembly (PM)'!$C$4</v>
      </c>
      <c r="U22" s="8" t="e">
        <f t="shared" si="21"/>
        <v>#VALUE!</v>
      </c>
      <c r="V22" t="e">
        <f t="shared" si="22"/>
        <v>#DIV/0!</v>
      </c>
      <c r="W22" t="e">
        <f t="shared" si="23"/>
        <v>#DIV/0!</v>
      </c>
      <c r="X22" t="e">
        <f t="shared" si="24"/>
        <v>#DIV/0!</v>
      </c>
      <c r="Y22" t="e">
        <f t="shared" si="25"/>
        <v>#VALUE!</v>
      </c>
      <c r="Z22" s="3">
        <v>1.57</v>
      </c>
    </row>
    <row r="23" spans="1:26" x14ac:dyDescent="0.2">
      <c r="A23" t="s">
        <v>10</v>
      </c>
      <c r="B23" s="6" t="str">
        <f t="shared" si="26"/>
        <v>='X:\BY7xx Shared Management Information\5. BY731 Line_Subs_Final  2018\01 Mike Gaffney\Quality\DPV Into Rattle Road\KW20\[Open Defects into Rattle Test Daily KW20D1.xlsx]BY73X - Assembly (PM)'!$C$6</v>
      </c>
      <c r="C23" s="7" t="str">
        <f t="shared" si="28"/>
        <v>=(SUMPRODUCT(('X:\BY7xx Shared Management Information\5. BY731 Line_Subs_Final  2018\01 Mike Gaffney\Quality\DPV Into Rattle Road\KW20\[Open Defects into Rattle Test Daily KW20D1.xlsx]BY73X - Assembly (PM)'!$I:$I="Paintshop")+0)+SUMPRODUCT(('X:\BY7xx Shared Management Information\5. BY731 Line_Subs_Final  2018\01 Mike Gaffney\Quality\DPV Into Rattle Road\KW20\[Open Defects into Rattle Test Daily KW20D1.xlsx]BY73X - Assembly (PM)'!$I:$I="Paint")+0))/'X:\BY7xx Shared Management Information\5. BY731 Line_Subs_Final  2018\01 Mike Gaffney\Quality\DPV Into Rattle Road\KW20\[Open Defects into Rattle Test Daily KW20D1.xlsx]BY73X - Assembly (PM)'!$C$4</v>
      </c>
      <c r="D23" s="7" t="str">
        <f t="shared" si="29"/>
        <v>=(SUMPRODUCT(('X:\BY7xx Shared Management Information\5. BY731 Line_Subs_Final  2018\01 Mike Gaffney\Quality\DPV Into Rattle Road\KW20\[Open Defects into Rattle Test Daily KW20D1.xlsx]BY73X - Assembly (PM)'!$I:$I="Car Locked")+0))/'X:\BY7xx Shared Management Information\5. BY731 Line_Subs_Final  2018\01 Mike Gaffney\Quality\DPV Into Rattle Road\KW20\[Open Defects into Rattle Test Daily KW20D1.xlsx]BY73X - Assembly (PM)'!$C$4</v>
      </c>
      <c r="E23" s="8" t="e">
        <f t="shared" si="17"/>
        <v>#VALUE!</v>
      </c>
      <c r="F23" s="6" t="str">
        <f t="shared" si="27"/>
        <v>='X:\BY7xx Shared Management Information\5. BY731 Line_Subs_Final  2018\01 Mike Gaffney\Quality\DPV Into Rattle Road\KW20\[Open Defects into Rattle Test Daily KW20D2.xlsx]BY73X - Assembly (PM)'!$C$6</v>
      </c>
      <c r="G23" s="7" t="str">
        <f t="shared" si="30"/>
        <v>=(SUMPRODUCT(('X:\BY7xx Shared Management Information\5. BY731 Line_Subs_Final  2018\01 Mike Gaffney\Quality\DPV Into Rattle Road\KW20\[Open Defects into Rattle Test Daily KW20D2.xlsx]BY73X - Assembly (PM)'!$I:$I="Paintshop")+0)+SUMPRODUCT(('X:\BY7xx Shared Management Information\5. BY731 Line_Subs_Final  2018\01 Mike Gaffney\Quality\DPV Into Rattle Road\KW20\[Open Defects into Rattle Test Daily KW20D2.xlsx]BY73X - Assembly (PM)'!$I:$I="Paint")+0))/'X:\BY7xx Shared Management Information\5. BY731 Line_Subs_Final  2018\01 Mike Gaffney\Quality\DPV Into Rattle Road\KW20\[Open Defects into Rattle Test Daily KW20D2.xlsx]BY73X - Assembly (PM)'!$C$4</v>
      </c>
      <c r="H23" s="7" t="str">
        <f t="shared" si="31"/>
        <v>=(SUMPRODUCT(('X:\BY7xx Shared Management Information\5. BY731 Line_Subs_Final  2018\01 Mike Gaffney\Quality\DPV Into Rattle Road\KW20\[Open Defects into Rattle Test Daily KW20D2.xlsx]BY73X - Assembly (PM)'!$I:$I="Car Locked")+0))/'X:\BY7xx Shared Management Information\5. BY731 Line_Subs_Final  2018\01 Mike Gaffney\Quality\DPV Into Rattle Road\KW20\[Open Defects into Rattle Test Daily KW20D2.xlsx]BY73X - Assembly (PM)'!$C$4</v>
      </c>
      <c r="I23" s="8" t="e">
        <f t="shared" si="18"/>
        <v>#VALUE!</v>
      </c>
      <c r="J23" s="6" t="str">
        <f t="shared" si="27"/>
        <v>='X:\BY7xx Shared Management Information\5. BY731 Line_Subs_Final  2018\01 Mike Gaffney\Quality\DPV Into Rattle Road\KW20\[Open Defects into Rattle Test Daily KW20D3.xlsx]BY73X - Assembly (PM)'!$C$6</v>
      </c>
      <c r="K23" s="7" t="str">
        <f t="shared" si="32"/>
        <v>=(SUMPRODUCT(('X:\BY7xx Shared Management Information\5. BY731 Line_Subs_Final  2018\01 Mike Gaffney\Quality\DPV Into Rattle Road\KW20\[Open Defects into Rattle Test Daily KW20D3.xlsx]BY73X - Assembly (PM)'!$I:$I="Paintshop")+0)+SUMPRODUCT(('X:\BY7xx Shared Management Information\5. BY731 Line_Subs_Final  2018\01 Mike Gaffney\Quality\DPV Into Rattle Road\KW20\[Open Defects into Rattle Test Daily KW20D3.xlsx]BY73X - Assembly (PM)'!$I:$I="Paint")+0))/'X:\BY7xx Shared Management Information\5. BY731 Line_Subs_Final  2018\01 Mike Gaffney\Quality\DPV Into Rattle Road\KW20\[Open Defects into Rattle Test Daily KW20D3.xlsx]BY73X - Assembly (PM)'!$C$4</v>
      </c>
      <c r="L23" s="7" t="str">
        <f t="shared" si="33"/>
        <v>=(SUMPRODUCT(('X:\BY7xx Shared Management Information\5. BY731 Line_Subs_Final  2018\01 Mike Gaffney\Quality\DPV Into Rattle Road\KW20\[Open Defects into Rattle Test Daily KW20D3.xlsx]BY73X - Assembly (PM)'!$I:$I="Car Locked")+0))/'X:\BY7xx Shared Management Information\5. BY731 Line_Subs_Final  2018\01 Mike Gaffney\Quality\DPV Into Rattle Road\KW20\[Open Defects into Rattle Test Daily KW20D3.xlsx]BY73X - Assembly (PM)'!$C$4</v>
      </c>
      <c r="M23" s="8" t="e">
        <f t="shared" si="19"/>
        <v>#VALUE!</v>
      </c>
      <c r="N23" s="6" t="str">
        <f t="shared" si="27"/>
        <v>='X:\BY7xx Shared Management Information\5. BY731 Line_Subs_Final  2018\01 Mike Gaffney\Quality\DPV Into Rattle Road\KW20\[Open Defects into Rattle Test Daily KW20D4.xlsx]BY73X - Assembly (PM)'!$C$6</v>
      </c>
      <c r="O23" s="7" t="str">
        <f t="shared" si="34"/>
        <v>=(SUMPRODUCT(('X:\BY7xx Shared Management Information\5. BY731 Line_Subs_Final  2018\01 Mike Gaffney\Quality\DPV Into Rattle Road\KW20\[Open Defects into Rattle Test Daily KW20D4.xlsx]BY73X - Assembly (PM)'!$I:$I="Paintshop")+0)+SUMPRODUCT(('X:\BY7xx Shared Management Information\5. BY731 Line_Subs_Final  2018\01 Mike Gaffney\Quality\DPV Into Rattle Road\KW20\[Open Defects into Rattle Test Daily KW20D4.xlsx]BY73X - Assembly (PM)'!$I:$I="Paint")+0))/'X:\BY7xx Shared Management Information\5. BY731 Line_Subs_Final  2018\01 Mike Gaffney\Quality\DPV Into Rattle Road\KW20\[Open Defects into Rattle Test Daily KW20D4.xlsx]BY73X - Assembly (PM)'!$C$4</v>
      </c>
      <c r="P23" s="7" t="str">
        <f t="shared" si="35"/>
        <v>=(SUMPRODUCT(('X:\BY7xx Shared Management Information\5. BY731 Line_Subs_Final  2018\01 Mike Gaffney\Quality\DPV Into Rattle Road\KW20\[Open Defects into Rattle Test Daily KW20D4.xlsx]BY73X - Assembly (PM)'!$I:$I="Car Locked")+0))/'X:\BY7xx Shared Management Information\5. BY731 Line_Subs_Final  2018\01 Mike Gaffney\Quality\DPV Into Rattle Road\KW20\[Open Defects into Rattle Test Daily KW20D4.xlsx]BY73X - Assembly (PM)'!$C$4</v>
      </c>
      <c r="Q23" s="8" t="e">
        <f t="shared" si="20"/>
        <v>#VALUE!</v>
      </c>
      <c r="R23" s="6" t="str">
        <f t="shared" si="27"/>
        <v>='X:\BY7xx Shared Management Information\5. BY731 Line_Subs_Final  2018\01 Mike Gaffney\Quality\DPV Into Rattle Road\KW20\[Open Defects into Rattle Test Daily KW20D5.xlsx]BY73X - Assembly (PM)'!$C$6</v>
      </c>
      <c r="S23" s="7" t="str">
        <f t="shared" si="36"/>
        <v>=(SUMPRODUCT(('X:\BY7xx Shared Management Information\5. BY731 Line_Subs_Final  2018\01 Mike Gaffney\Quality\DPV Into Rattle Road\KW20\[Open Defects into Rattle Test Daily KW20D5.xlsx]BY73X - Assembly (PM)'!$I:$I="Paintshop")+0)+SUMPRODUCT(('X:\BY7xx Shared Management Information\5. BY731 Line_Subs_Final  2018\01 Mike Gaffney\Quality\DPV Into Rattle Road\KW20\[Open Defects into Rattle Test Daily KW20D5.xlsx]BY73X - Assembly (PM)'!$I:$I="Paint")+0))/'X:\BY7xx Shared Management Information\5. BY731 Line_Subs_Final  2018\01 Mike Gaffney\Quality\DPV Into Rattle Road\KW20\[Open Defects into Rattle Test Daily KW20D5.xlsx]BY73X - Assembly (PM)'!$C$4</v>
      </c>
      <c r="T23" s="7" t="str">
        <f t="shared" si="37"/>
        <v>=(SUMPRODUCT(('X:\BY7xx Shared Management Information\5. BY731 Line_Subs_Final  2018\01 Mike Gaffney\Quality\DPV Into Rattle Road\KW20\[Open Defects into Rattle Test Daily KW20D5.xlsx]BY73X - Assembly (PM)'!$I:$I="Car Locked")+0))/'X:\BY7xx Shared Management Information\5. BY731 Line_Subs_Final  2018\01 Mike Gaffney\Quality\DPV Into Rattle Road\KW20\[Open Defects into Rattle Test Daily KW20D5.xlsx]BY73X - Assembly (PM)'!$C$4</v>
      </c>
      <c r="U23" s="8" t="e">
        <f t="shared" si="21"/>
        <v>#VALUE!</v>
      </c>
      <c r="V23" t="e">
        <f t="shared" si="22"/>
        <v>#DIV/0!</v>
      </c>
      <c r="W23" t="e">
        <f t="shared" si="23"/>
        <v>#DIV/0!</v>
      </c>
      <c r="X23" t="e">
        <f t="shared" si="24"/>
        <v>#DIV/0!</v>
      </c>
      <c r="Y23" t="e">
        <f t="shared" si="25"/>
        <v>#VALUE!</v>
      </c>
      <c r="Z23" s="3">
        <v>1.57</v>
      </c>
    </row>
    <row r="24" spans="1:26" x14ac:dyDescent="0.2">
      <c r="A24" t="s">
        <v>11</v>
      </c>
      <c r="B24" s="6" t="str">
        <f t="shared" si="26"/>
        <v>='X:\BY7xx Shared Management Information\5. BY731 Line_Subs_Final  2018\01 Mike Gaffney\Quality\DPV Into Rattle Road\KW21\[Open Defects into Rattle Test Daily KW21D1.xlsx]BY73X - Assembly (PM)'!$C$6</v>
      </c>
      <c r="C24" s="7" t="str">
        <f t="shared" si="28"/>
        <v>=(SUMPRODUCT(('X:\BY7xx Shared Management Information\5. BY731 Line_Subs_Final  2018\01 Mike Gaffney\Quality\DPV Into Rattle Road\KW21\[Open Defects into Rattle Test Daily KW21D1.xlsx]BY73X - Assembly (PM)'!$I:$I="Paintshop")+0)+SUMPRODUCT(('X:\BY7xx Shared Management Information\5. BY731 Line_Subs_Final  2018\01 Mike Gaffney\Quality\DPV Into Rattle Road\KW21\[Open Defects into Rattle Test Daily KW21D1.xlsx]BY73X - Assembly (PM)'!$I:$I="Paint")+0))/'X:\BY7xx Shared Management Information\5. BY731 Line_Subs_Final  2018\01 Mike Gaffney\Quality\DPV Into Rattle Road\KW21\[Open Defects into Rattle Test Daily KW21D1.xlsx]BY73X - Assembly (PM)'!$C$4</v>
      </c>
      <c r="D24" s="7" t="str">
        <f t="shared" si="29"/>
        <v>=(SUMPRODUCT(('X:\BY7xx Shared Management Information\5. BY731 Line_Subs_Final  2018\01 Mike Gaffney\Quality\DPV Into Rattle Road\KW21\[Open Defects into Rattle Test Daily KW21D1.xlsx]BY73X - Assembly (PM)'!$I:$I="Car Locked")+0))/'X:\BY7xx Shared Management Information\5. BY731 Line_Subs_Final  2018\01 Mike Gaffney\Quality\DPV Into Rattle Road\KW21\[Open Defects into Rattle Test Daily KW21D1.xlsx]BY73X - Assembly (PM)'!$C$4</v>
      </c>
      <c r="E24" s="8" t="e">
        <f t="shared" si="17"/>
        <v>#VALUE!</v>
      </c>
      <c r="F24" s="6" t="str">
        <f t="shared" si="27"/>
        <v>='X:\BY7xx Shared Management Information\5. BY731 Line_Subs_Final  2018\01 Mike Gaffney\Quality\DPV Into Rattle Road\KW21\[Open Defects into Rattle Test Daily KW21D2.xlsx]BY73X - Assembly (PM)'!$C$6</v>
      </c>
      <c r="G24" s="7" t="str">
        <f t="shared" si="30"/>
        <v>=(SUMPRODUCT(('X:\BY7xx Shared Management Information\5. BY731 Line_Subs_Final  2018\01 Mike Gaffney\Quality\DPV Into Rattle Road\KW21\[Open Defects into Rattle Test Daily KW21D2.xlsx]BY73X - Assembly (PM)'!$I:$I="Paintshop")+0)+SUMPRODUCT(('X:\BY7xx Shared Management Information\5. BY731 Line_Subs_Final  2018\01 Mike Gaffney\Quality\DPV Into Rattle Road\KW21\[Open Defects into Rattle Test Daily KW21D2.xlsx]BY73X - Assembly (PM)'!$I:$I="Paint")+0))/'X:\BY7xx Shared Management Information\5. BY731 Line_Subs_Final  2018\01 Mike Gaffney\Quality\DPV Into Rattle Road\KW21\[Open Defects into Rattle Test Daily KW21D2.xlsx]BY73X - Assembly (PM)'!$C$4</v>
      </c>
      <c r="H24" s="7" t="str">
        <f t="shared" si="31"/>
        <v>=(SUMPRODUCT(('X:\BY7xx Shared Management Information\5. BY731 Line_Subs_Final  2018\01 Mike Gaffney\Quality\DPV Into Rattle Road\KW21\[Open Defects into Rattle Test Daily KW21D2.xlsx]BY73X - Assembly (PM)'!$I:$I="Car Locked")+0))/'X:\BY7xx Shared Management Information\5. BY731 Line_Subs_Final  2018\01 Mike Gaffney\Quality\DPV Into Rattle Road\KW21\[Open Defects into Rattle Test Daily KW21D2.xlsx]BY73X - Assembly (PM)'!$C$4</v>
      </c>
      <c r="I24" s="8" t="e">
        <f t="shared" si="18"/>
        <v>#VALUE!</v>
      </c>
      <c r="J24" s="6" t="str">
        <f t="shared" si="27"/>
        <v>='X:\BY7xx Shared Management Information\5. BY731 Line_Subs_Final  2018\01 Mike Gaffney\Quality\DPV Into Rattle Road\KW21\[Open Defects into Rattle Test Daily KW21D3.xlsx]BY73X - Assembly (PM)'!$C$6</v>
      </c>
      <c r="K24" s="7" t="str">
        <f t="shared" si="32"/>
        <v>=(SUMPRODUCT(('X:\BY7xx Shared Management Information\5. BY731 Line_Subs_Final  2018\01 Mike Gaffney\Quality\DPV Into Rattle Road\KW21\[Open Defects into Rattle Test Daily KW21D3.xlsx]BY73X - Assembly (PM)'!$I:$I="Paintshop")+0)+SUMPRODUCT(('X:\BY7xx Shared Management Information\5. BY731 Line_Subs_Final  2018\01 Mike Gaffney\Quality\DPV Into Rattle Road\KW21\[Open Defects into Rattle Test Daily KW21D3.xlsx]BY73X - Assembly (PM)'!$I:$I="Paint")+0))/'X:\BY7xx Shared Management Information\5. BY731 Line_Subs_Final  2018\01 Mike Gaffney\Quality\DPV Into Rattle Road\KW21\[Open Defects into Rattle Test Daily KW21D3.xlsx]BY73X - Assembly (PM)'!$C$4</v>
      </c>
      <c r="L24" s="7" t="str">
        <f t="shared" si="33"/>
        <v>=(SUMPRODUCT(('X:\BY7xx Shared Management Information\5. BY731 Line_Subs_Final  2018\01 Mike Gaffney\Quality\DPV Into Rattle Road\KW21\[Open Defects into Rattle Test Daily KW21D3.xlsx]BY73X - Assembly (PM)'!$I:$I="Car Locked")+0))/'X:\BY7xx Shared Management Information\5. BY731 Line_Subs_Final  2018\01 Mike Gaffney\Quality\DPV Into Rattle Road\KW21\[Open Defects into Rattle Test Daily KW21D3.xlsx]BY73X - Assembly (PM)'!$C$4</v>
      </c>
      <c r="M24" s="8" t="e">
        <f t="shared" si="19"/>
        <v>#VALUE!</v>
      </c>
      <c r="N24" s="6" t="str">
        <f t="shared" si="27"/>
        <v>='X:\BY7xx Shared Management Information\5. BY731 Line_Subs_Final  2018\01 Mike Gaffney\Quality\DPV Into Rattle Road\KW21\[Open Defects into Rattle Test Daily KW21D4.xlsx]BY73X - Assembly (PM)'!$C$6</v>
      </c>
      <c r="O24" s="7" t="str">
        <f t="shared" si="34"/>
        <v>=(SUMPRODUCT(('X:\BY7xx Shared Management Information\5. BY731 Line_Subs_Final  2018\01 Mike Gaffney\Quality\DPV Into Rattle Road\KW21\[Open Defects into Rattle Test Daily KW21D4.xlsx]BY73X - Assembly (PM)'!$I:$I="Paintshop")+0)+SUMPRODUCT(('X:\BY7xx Shared Management Information\5. BY731 Line_Subs_Final  2018\01 Mike Gaffney\Quality\DPV Into Rattle Road\KW21\[Open Defects into Rattle Test Daily KW21D4.xlsx]BY73X - Assembly (PM)'!$I:$I="Paint")+0))/'X:\BY7xx Shared Management Information\5. BY731 Line_Subs_Final  2018\01 Mike Gaffney\Quality\DPV Into Rattle Road\KW21\[Open Defects into Rattle Test Daily KW21D4.xlsx]BY73X - Assembly (PM)'!$C$4</v>
      </c>
      <c r="P24" s="7" t="str">
        <f t="shared" si="35"/>
        <v>=(SUMPRODUCT(('X:\BY7xx Shared Management Information\5. BY731 Line_Subs_Final  2018\01 Mike Gaffney\Quality\DPV Into Rattle Road\KW21\[Open Defects into Rattle Test Daily KW21D4.xlsx]BY73X - Assembly (PM)'!$I:$I="Car Locked")+0))/'X:\BY7xx Shared Management Information\5. BY731 Line_Subs_Final  2018\01 Mike Gaffney\Quality\DPV Into Rattle Road\KW21\[Open Defects into Rattle Test Daily KW21D4.xlsx]BY73X - Assembly (PM)'!$C$4</v>
      </c>
      <c r="Q24" s="8" t="e">
        <f t="shared" si="20"/>
        <v>#VALUE!</v>
      </c>
      <c r="R24" s="6" t="str">
        <f t="shared" si="27"/>
        <v>='X:\BY7xx Shared Management Information\5. BY731 Line_Subs_Final  2018\01 Mike Gaffney\Quality\DPV Into Rattle Road\KW21\[Open Defects into Rattle Test Daily KW21D5.xlsx]BY73X - Assembly (PM)'!$C$6</v>
      </c>
      <c r="S24" s="7" t="str">
        <f t="shared" si="36"/>
        <v>=(SUMPRODUCT(('X:\BY7xx Shared Management Information\5. BY731 Line_Subs_Final  2018\01 Mike Gaffney\Quality\DPV Into Rattle Road\KW21\[Open Defects into Rattle Test Daily KW21D5.xlsx]BY73X - Assembly (PM)'!$I:$I="Paintshop")+0)+SUMPRODUCT(('X:\BY7xx Shared Management Information\5. BY731 Line_Subs_Final  2018\01 Mike Gaffney\Quality\DPV Into Rattle Road\KW21\[Open Defects into Rattle Test Daily KW21D5.xlsx]BY73X - Assembly (PM)'!$I:$I="Paint")+0))/'X:\BY7xx Shared Management Information\5. BY731 Line_Subs_Final  2018\01 Mike Gaffney\Quality\DPV Into Rattle Road\KW21\[Open Defects into Rattle Test Daily KW21D5.xlsx]BY73X - Assembly (PM)'!$C$4</v>
      </c>
      <c r="T24" s="7" t="str">
        <f t="shared" si="37"/>
        <v>=(SUMPRODUCT(('X:\BY7xx Shared Management Information\5. BY731 Line_Subs_Final  2018\01 Mike Gaffney\Quality\DPV Into Rattle Road\KW21\[Open Defects into Rattle Test Daily KW21D5.xlsx]BY73X - Assembly (PM)'!$I:$I="Car Locked")+0))/'X:\BY7xx Shared Management Information\5. BY731 Line_Subs_Final  2018\01 Mike Gaffney\Quality\DPV Into Rattle Road\KW21\[Open Defects into Rattle Test Daily KW21D5.xlsx]BY73X - Assembly (PM)'!$C$4</v>
      </c>
      <c r="U24" s="8" t="e">
        <f t="shared" si="21"/>
        <v>#VALUE!</v>
      </c>
      <c r="V24" t="e">
        <f t="shared" si="22"/>
        <v>#DIV/0!</v>
      </c>
      <c r="W24" t="e">
        <f t="shared" si="23"/>
        <v>#DIV/0!</v>
      </c>
      <c r="X24" t="e">
        <f t="shared" si="24"/>
        <v>#DIV/0!</v>
      </c>
      <c r="Y24" t="e">
        <f t="shared" si="25"/>
        <v>#VALUE!</v>
      </c>
      <c r="Z24" s="3">
        <v>1.57</v>
      </c>
    </row>
    <row r="25" spans="1:26" x14ac:dyDescent="0.2">
      <c r="A25" t="s">
        <v>26</v>
      </c>
      <c r="B25" s="6" t="str">
        <f t="shared" si="26"/>
        <v>='X:\BY7xx Shared Management Information\5. BY731 Line_Subs_Final  2018\01 Mike Gaffney\Quality\DPV Into Rattle Road\KW22\[Open Defects into Rattle Test Daily KW22D1.xlsx]BY73X - Assembly (PM)'!$C$6</v>
      </c>
      <c r="C25" s="7" t="str">
        <f t="shared" si="28"/>
        <v>=(SUMPRODUCT(('X:\BY7xx Shared Management Information\5. BY731 Line_Subs_Final  2018\01 Mike Gaffney\Quality\DPV Into Rattle Road\KW22\[Open Defects into Rattle Test Daily KW22D1.xlsx]BY73X - Assembly (PM)'!$I:$I="Paintshop")+0)+SUMPRODUCT(('X:\BY7xx Shared Management Information\5. BY731 Line_Subs_Final  2018\01 Mike Gaffney\Quality\DPV Into Rattle Road\KW22\[Open Defects into Rattle Test Daily KW22D1.xlsx]BY73X - Assembly (PM)'!$I:$I="Paint")+0))/'X:\BY7xx Shared Management Information\5. BY731 Line_Subs_Final  2018\01 Mike Gaffney\Quality\DPV Into Rattle Road\KW22\[Open Defects into Rattle Test Daily KW22D1.xlsx]BY73X - Assembly (PM)'!$C$4</v>
      </c>
      <c r="D25" s="7" t="str">
        <f t="shared" si="29"/>
        <v>=(SUMPRODUCT(('X:\BY7xx Shared Management Information\5. BY731 Line_Subs_Final  2018\01 Mike Gaffney\Quality\DPV Into Rattle Road\KW22\[Open Defects into Rattle Test Daily KW22D1.xlsx]BY73X - Assembly (PM)'!$I:$I="Car Locked")+0))/'X:\BY7xx Shared Management Information\5. BY731 Line_Subs_Final  2018\01 Mike Gaffney\Quality\DPV Into Rattle Road\KW22\[Open Defects into Rattle Test Daily KW22D1.xlsx]BY73X - Assembly (PM)'!$C$4</v>
      </c>
      <c r="E25" s="8" t="e">
        <f t="shared" si="17"/>
        <v>#VALUE!</v>
      </c>
      <c r="F25" s="6" t="str">
        <f t="shared" si="27"/>
        <v>='X:\BY7xx Shared Management Information\5. BY731 Line_Subs_Final  2018\01 Mike Gaffney\Quality\DPV Into Rattle Road\KW22\[Open Defects into Rattle Test Daily KW22D2.xlsx]BY73X - Assembly (PM)'!$C$6</v>
      </c>
      <c r="G25" s="7" t="str">
        <f t="shared" si="30"/>
        <v>=(SUMPRODUCT(('X:\BY7xx Shared Management Information\5. BY731 Line_Subs_Final  2018\01 Mike Gaffney\Quality\DPV Into Rattle Road\KW22\[Open Defects into Rattle Test Daily KW22D2.xlsx]BY73X - Assembly (PM)'!$I:$I="Paintshop")+0)+SUMPRODUCT(('X:\BY7xx Shared Management Information\5. BY731 Line_Subs_Final  2018\01 Mike Gaffney\Quality\DPV Into Rattle Road\KW22\[Open Defects into Rattle Test Daily KW22D2.xlsx]BY73X - Assembly (PM)'!$I:$I="Paint")+0))/'X:\BY7xx Shared Management Information\5. BY731 Line_Subs_Final  2018\01 Mike Gaffney\Quality\DPV Into Rattle Road\KW22\[Open Defects into Rattle Test Daily KW22D2.xlsx]BY73X - Assembly (PM)'!$C$4</v>
      </c>
      <c r="H25" s="7" t="str">
        <f t="shared" si="31"/>
        <v>=(SUMPRODUCT(('X:\BY7xx Shared Management Information\5. BY731 Line_Subs_Final  2018\01 Mike Gaffney\Quality\DPV Into Rattle Road\KW22\[Open Defects into Rattle Test Daily KW22D2.xlsx]BY73X - Assembly (PM)'!$I:$I="Car Locked")+0))/'X:\BY7xx Shared Management Information\5. BY731 Line_Subs_Final  2018\01 Mike Gaffney\Quality\DPV Into Rattle Road\KW22\[Open Defects into Rattle Test Daily KW22D2.xlsx]BY73X - Assembly (PM)'!$C$4</v>
      </c>
      <c r="I25" s="8" t="e">
        <f t="shared" si="18"/>
        <v>#VALUE!</v>
      </c>
      <c r="J25" s="6" t="str">
        <f t="shared" si="27"/>
        <v>='X:\BY7xx Shared Management Information\5. BY731 Line_Subs_Final  2018\01 Mike Gaffney\Quality\DPV Into Rattle Road\KW22\[Open Defects into Rattle Test Daily KW22D3.xlsx]BY73X - Assembly (PM)'!$C$6</v>
      </c>
      <c r="K25" s="7" t="str">
        <f t="shared" si="32"/>
        <v>=(SUMPRODUCT(('X:\BY7xx Shared Management Information\5. BY731 Line_Subs_Final  2018\01 Mike Gaffney\Quality\DPV Into Rattle Road\KW22\[Open Defects into Rattle Test Daily KW22D3.xlsx]BY73X - Assembly (PM)'!$I:$I="Paintshop")+0)+SUMPRODUCT(('X:\BY7xx Shared Management Information\5. BY731 Line_Subs_Final  2018\01 Mike Gaffney\Quality\DPV Into Rattle Road\KW22\[Open Defects into Rattle Test Daily KW22D3.xlsx]BY73X - Assembly (PM)'!$I:$I="Paint")+0))/'X:\BY7xx Shared Management Information\5. BY731 Line_Subs_Final  2018\01 Mike Gaffney\Quality\DPV Into Rattle Road\KW22\[Open Defects into Rattle Test Daily KW22D3.xlsx]BY73X - Assembly (PM)'!$C$4</v>
      </c>
      <c r="L25" s="7" t="str">
        <f t="shared" si="33"/>
        <v>=(SUMPRODUCT(('X:\BY7xx Shared Management Information\5. BY731 Line_Subs_Final  2018\01 Mike Gaffney\Quality\DPV Into Rattle Road\KW22\[Open Defects into Rattle Test Daily KW22D3.xlsx]BY73X - Assembly (PM)'!$I:$I="Car Locked")+0))/'X:\BY7xx Shared Management Information\5. BY731 Line_Subs_Final  2018\01 Mike Gaffney\Quality\DPV Into Rattle Road\KW22\[Open Defects into Rattle Test Daily KW22D3.xlsx]BY73X - Assembly (PM)'!$C$4</v>
      </c>
      <c r="M25" s="8" t="e">
        <f t="shared" si="19"/>
        <v>#VALUE!</v>
      </c>
      <c r="N25" s="6" t="str">
        <f t="shared" si="27"/>
        <v>='X:\BY7xx Shared Management Information\5. BY731 Line_Subs_Final  2018\01 Mike Gaffney\Quality\DPV Into Rattle Road\KW22\[Open Defects into Rattle Test Daily KW22D4.xlsx]BY73X - Assembly (PM)'!$C$6</v>
      </c>
      <c r="O25" s="7" t="str">
        <f t="shared" si="34"/>
        <v>=(SUMPRODUCT(('X:\BY7xx Shared Management Information\5. BY731 Line_Subs_Final  2018\01 Mike Gaffney\Quality\DPV Into Rattle Road\KW22\[Open Defects into Rattle Test Daily KW22D4.xlsx]BY73X - Assembly (PM)'!$I:$I="Paintshop")+0)+SUMPRODUCT(('X:\BY7xx Shared Management Information\5. BY731 Line_Subs_Final  2018\01 Mike Gaffney\Quality\DPV Into Rattle Road\KW22\[Open Defects into Rattle Test Daily KW22D4.xlsx]BY73X - Assembly (PM)'!$I:$I="Paint")+0))/'X:\BY7xx Shared Management Information\5. BY731 Line_Subs_Final  2018\01 Mike Gaffney\Quality\DPV Into Rattle Road\KW22\[Open Defects into Rattle Test Daily KW22D4.xlsx]BY73X - Assembly (PM)'!$C$4</v>
      </c>
      <c r="P25" s="7" t="str">
        <f t="shared" si="35"/>
        <v>=(SUMPRODUCT(('X:\BY7xx Shared Management Information\5. BY731 Line_Subs_Final  2018\01 Mike Gaffney\Quality\DPV Into Rattle Road\KW22\[Open Defects into Rattle Test Daily KW22D4.xlsx]BY73X - Assembly (PM)'!$I:$I="Car Locked")+0))/'X:\BY7xx Shared Management Information\5. BY731 Line_Subs_Final  2018\01 Mike Gaffney\Quality\DPV Into Rattle Road\KW22\[Open Defects into Rattle Test Daily KW22D4.xlsx]BY73X - Assembly (PM)'!$C$4</v>
      </c>
      <c r="Q25" s="8" t="e">
        <f t="shared" si="20"/>
        <v>#VALUE!</v>
      </c>
      <c r="R25" s="6" t="str">
        <f t="shared" si="27"/>
        <v>='X:\BY7xx Shared Management Information\5. BY731 Line_Subs_Final  2018\01 Mike Gaffney\Quality\DPV Into Rattle Road\KW22\[Open Defects into Rattle Test Daily KW22D5.xlsx]BY73X - Assembly (PM)'!$C$6</v>
      </c>
      <c r="S25" s="7" t="str">
        <f t="shared" si="36"/>
        <v>=(SUMPRODUCT(('X:\BY7xx Shared Management Information\5. BY731 Line_Subs_Final  2018\01 Mike Gaffney\Quality\DPV Into Rattle Road\KW22\[Open Defects into Rattle Test Daily KW22D5.xlsx]BY73X - Assembly (PM)'!$I:$I="Paintshop")+0)+SUMPRODUCT(('X:\BY7xx Shared Management Information\5. BY731 Line_Subs_Final  2018\01 Mike Gaffney\Quality\DPV Into Rattle Road\KW22\[Open Defects into Rattle Test Daily KW22D5.xlsx]BY73X - Assembly (PM)'!$I:$I="Paint")+0))/'X:\BY7xx Shared Management Information\5. BY731 Line_Subs_Final  2018\01 Mike Gaffney\Quality\DPV Into Rattle Road\KW22\[Open Defects into Rattle Test Daily KW22D5.xlsx]BY73X - Assembly (PM)'!$C$4</v>
      </c>
      <c r="T25" s="7" t="str">
        <f t="shared" si="37"/>
        <v>=(SUMPRODUCT(('X:\BY7xx Shared Management Information\5. BY731 Line_Subs_Final  2018\01 Mike Gaffney\Quality\DPV Into Rattle Road\KW22\[Open Defects into Rattle Test Daily KW22D5.xlsx]BY73X - Assembly (PM)'!$I:$I="Car Locked")+0))/'X:\BY7xx Shared Management Information\5. BY731 Line_Subs_Final  2018\01 Mike Gaffney\Quality\DPV Into Rattle Road\KW22\[Open Defects into Rattle Test Daily KW22D5.xlsx]BY73X - Assembly (PM)'!$C$4</v>
      </c>
      <c r="U25" s="8" t="e">
        <f t="shared" si="21"/>
        <v>#VALUE!</v>
      </c>
      <c r="V25" t="e">
        <f t="shared" si="22"/>
        <v>#DIV/0!</v>
      </c>
      <c r="W25" t="e">
        <f t="shared" si="23"/>
        <v>#DIV/0!</v>
      </c>
      <c r="X25" t="e">
        <f t="shared" si="24"/>
        <v>#DIV/0!</v>
      </c>
      <c r="Y25" t="e">
        <f t="shared" si="25"/>
        <v>#VALUE!</v>
      </c>
      <c r="Z25" s="3">
        <v>1.57</v>
      </c>
    </row>
    <row r="26" spans="1:26" x14ac:dyDescent="0.2">
      <c r="A26" t="s">
        <v>27</v>
      </c>
      <c r="B26" s="6" t="str">
        <f t="shared" si="26"/>
        <v>='X:\BY7xx Shared Management Information\5. BY731 Line_Subs_Final  2018\01 Mike Gaffney\Quality\DPV Into Rattle Road\KW23\[Open Defects into Rattle Test Daily KW23D1.xlsx]BY73X - Assembly (PM)'!$C$6</v>
      </c>
      <c r="C26" s="7" t="str">
        <f t="shared" si="28"/>
        <v>=(SUMPRODUCT(('X:\BY7xx Shared Management Information\5. BY731 Line_Subs_Final  2018\01 Mike Gaffney\Quality\DPV Into Rattle Road\KW23\[Open Defects into Rattle Test Daily KW23D1.xlsx]BY73X - Assembly (PM)'!$I:$I="Paintshop")+0)+SUMPRODUCT(('X:\BY7xx Shared Management Information\5. BY731 Line_Subs_Final  2018\01 Mike Gaffney\Quality\DPV Into Rattle Road\KW23\[Open Defects into Rattle Test Daily KW23D1.xlsx]BY73X - Assembly (PM)'!$I:$I="Paint")+0))/'X:\BY7xx Shared Management Information\5. BY731 Line_Subs_Final  2018\01 Mike Gaffney\Quality\DPV Into Rattle Road\KW23\[Open Defects into Rattle Test Daily KW23D1.xlsx]BY73X - Assembly (PM)'!$C$4</v>
      </c>
      <c r="D26" s="7" t="str">
        <f t="shared" si="29"/>
        <v>=(SUMPRODUCT(('X:\BY7xx Shared Management Information\5. BY731 Line_Subs_Final  2018\01 Mike Gaffney\Quality\DPV Into Rattle Road\KW23\[Open Defects into Rattle Test Daily KW23D1.xlsx]BY73X - Assembly (PM)'!$I:$I="Car Locked")+0))/'X:\BY7xx Shared Management Information\5. BY731 Line_Subs_Final  2018\01 Mike Gaffney\Quality\DPV Into Rattle Road\KW23\[Open Defects into Rattle Test Daily KW23D1.xlsx]BY73X - Assembly (PM)'!$C$4</v>
      </c>
      <c r="E26" s="8" t="e">
        <f t="shared" si="17"/>
        <v>#VALUE!</v>
      </c>
      <c r="F26" s="6" t="str">
        <f t="shared" si="27"/>
        <v>='X:\BY7xx Shared Management Information\5. BY731 Line_Subs_Final  2018\01 Mike Gaffney\Quality\DPV Into Rattle Road\KW23\[Open Defects into Rattle Test Daily KW23D2.xlsx]BY73X - Assembly (PM)'!$C$6</v>
      </c>
      <c r="G26" s="7" t="str">
        <f t="shared" si="30"/>
        <v>=(SUMPRODUCT(('X:\BY7xx Shared Management Information\5. BY731 Line_Subs_Final  2018\01 Mike Gaffney\Quality\DPV Into Rattle Road\KW23\[Open Defects into Rattle Test Daily KW23D2.xlsx]BY73X - Assembly (PM)'!$I:$I="Paintshop")+0)+SUMPRODUCT(('X:\BY7xx Shared Management Information\5. BY731 Line_Subs_Final  2018\01 Mike Gaffney\Quality\DPV Into Rattle Road\KW23\[Open Defects into Rattle Test Daily KW23D2.xlsx]BY73X - Assembly (PM)'!$I:$I="Paint")+0))/'X:\BY7xx Shared Management Information\5. BY731 Line_Subs_Final  2018\01 Mike Gaffney\Quality\DPV Into Rattle Road\KW23\[Open Defects into Rattle Test Daily KW23D2.xlsx]BY73X - Assembly (PM)'!$C$4</v>
      </c>
      <c r="H26" s="7" t="str">
        <f t="shared" si="31"/>
        <v>=(SUMPRODUCT(('X:\BY7xx Shared Management Information\5. BY731 Line_Subs_Final  2018\01 Mike Gaffney\Quality\DPV Into Rattle Road\KW23\[Open Defects into Rattle Test Daily KW23D2.xlsx]BY73X - Assembly (PM)'!$I:$I="Car Locked")+0))/'X:\BY7xx Shared Management Information\5. BY731 Line_Subs_Final  2018\01 Mike Gaffney\Quality\DPV Into Rattle Road\KW23\[Open Defects into Rattle Test Daily KW23D2.xlsx]BY73X - Assembly (PM)'!$C$4</v>
      </c>
      <c r="I26" s="8" t="e">
        <f t="shared" si="18"/>
        <v>#VALUE!</v>
      </c>
      <c r="J26" s="6" t="str">
        <f t="shared" si="27"/>
        <v>='X:\BY7xx Shared Management Information\5. BY731 Line_Subs_Final  2018\01 Mike Gaffney\Quality\DPV Into Rattle Road\KW23\[Open Defects into Rattle Test Daily KW23D3.xlsx]BY73X - Assembly (PM)'!$C$6</v>
      </c>
      <c r="K26" s="7" t="str">
        <f t="shared" si="32"/>
        <v>=(SUMPRODUCT(('X:\BY7xx Shared Management Information\5. BY731 Line_Subs_Final  2018\01 Mike Gaffney\Quality\DPV Into Rattle Road\KW23\[Open Defects into Rattle Test Daily KW23D3.xlsx]BY73X - Assembly (PM)'!$I:$I="Paintshop")+0)+SUMPRODUCT(('X:\BY7xx Shared Management Information\5. BY731 Line_Subs_Final  2018\01 Mike Gaffney\Quality\DPV Into Rattle Road\KW23\[Open Defects into Rattle Test Daily KW23D3.xlsx]BY73X - Assembly (PM)'!$I:$I="Paint")+0))/'X:\BY7xx Shared Management Information\5. BY731 Line_Subs_Final  2018\01 Mike Gaffney\Quality\DPV Into Rattle Road\KW23\[Open Defects into Rattle Test Daily KW23D3.xlsx]BY73X - Assembly (PM)'!$C$4</v>
      </c>
      <c r="L26" s="7" t="str">
        <f t="shared" si="33"/>
        <v>=(SUMPRODUCT(('X:\BY7xx Shared Management Information\5. BY731 Line_Subs_Final  2018\01 Mike Gaffney\Quality\DPV Into Rattle Road\KW23\[Open Defects into Rattle Test Daily KW23D3.xlsx]BY73X - Assembly (PM)'!$I:$I="Car Locked")+0))/'X:\BY7xx Shared Management Information\5. BY731 Line_Subs_Final  2018\01 Mike Gaffney\Quality\DPV Into Rattle Road\KW23\[Open Defects into Rattle Test Daily KW23D3.xlsx]BY73X - Assembly (PM)'!$C$4</v>
      </c>
      <c r="M26" s="8" t="e">
        <f t="shared" si="19"/>
        <v>#VALUE!</v>
      </c>
      <c r="N26" s="6" t="str">
        <f t="shared" si="27"/>
        <v>='X:\BY7xx Shared Management Information\5. BY731 Line_Subs_Final  2018\01 Mike Gaffney\Quality\DPV Into Rattle Road\KW23\[Open Defects into Rattle Test Daily KW23D4.xlsx]BY73X - Assembly (PM)'!$C$6</v>
      </c>
      <c r="O26" s="7" t="str">
        <f t="shared" si="34"/>
        <v>=(SUMPRODUCT(('X:\BY7xx Shared Management Information\5. BY731 Line_Subs_Final  2018\01 Mike Gaffney\Quality\DPV Into Rattle Road\KW23\[Open Defects into Rattle Test Daily KW23D4.xlsx]BY73X - Assembly (PM)'!$I:$I="Paintshop")+0)+SUMPRODUCT(('X:\BY7xx Shared Management Information\5. BY731 Line_Subs_Final  2018\01 Mike Gaffney\Quality\DPV Into Rattle Road\KW23\[Open Defects into Rattle Test Daily KW23D4.xlsx]BY73X - Assembly (PM)'!$I:$I="Paint")+0))/'X:\BY7xx Shared Management Information\5. BY731 Line_Subs_Final  2018\01 Mike Gaffney\Quality\DPV Into Rattle Road\KW23\[Open Defects into Rattle Test Daily KW23D4.xlsx]BY73X - Assembly (PM)'!$C$4</v>
      </c>
      <c r="P26" s="7" t="str">
        <f t="shared" si="35"/>
        <v>=(SUMPRODUCT(('X:\BY7xx Shared Management Information\5. BY731 Line_Subs_Final  2018\01 Mike Gaffney\Quality\DPV Into Rattle Road\KW23\[Open Defects into Rattle Test Daily KW23D4.xlsx]BY73X - Assembly (PM)'!$I:$I="Car Locked")+0))/'X:\BY7xx Shared Management Information\5. BY731 Line_Subs_Final  2018\01 Mike Gaffney\Quality\DPV Into Rattle Road\KW23\[Open Defects into Rattle Test Daily KW23D4.xlsx]BY73X - Assembly (PM)'!$C$4</v>
      </c>
      <c r="Q26" s="8" t="e">
        <f t="shared" si="20"/>
        <v>#VALUE!</v>
      </c>
      <c r="R26" s="6" t="str">
        <f t="shared" si="27"/>
        <v>='X:\BY7xx Shared Management Information\5. BY731 Line_Subs_Final  2018\01 Mike Gaffney\Quality\DPV Into Rattle Road\KW23\[Open Defects into Rattle Test Daily KW23D5.xlsx]BY73X - Assembly (PM)'!$C$6</v>
      </c>
      <c r="S26" s="7" t="str">
        <f t="shared" si="36"/>
        <v>=(SUMPRODUCT(('X:\BY7xx Shared Management Information\5. BY731 Line_Subs_Final  2018\01 Mike Gaffney\Quality\DPV Into Rattle Road\KW23\[Open Defects into Rattle Test Daily KW23D5.xlsx]BY73X - Assembly (PM)'!$I:$I="Paintshop")+0)+SUMPRODUCT(('X:\BY7xx Shared Management Information\5. BY731 Line_Subs_Final  2018\01 Mike Gaffney\Quality\DPV Into Rattle Road\KW23\[Open Defects into Rattle Test Daily KW23D5.xlsx]BY73X - Assembly (PM)'!$I:$I="Paint")+0))/'X:\BY7xx Shared Management Information\5. BY731 Line_Subs_Final  2018\01 Mike Gaffney\Quality\DPV Into Rattle Road\KW23\[Open Defects into Rattle Test Daily KW23D5.xlsx]BY73X - Assembly (PM)'!$C$4</v>
      </c>
      <c r="T26" s="7" t="str">
        <f t="shared" si="37"/>
        <v>=(SUMPRODUCT(('X:\BY7xx Shared Management Information\5. BY731 Line_Subs_Final  2018\01 Mike Gaffney\Quality\DPV Into Rattle Road\KW23\[Open Defects into Rattle Test Daily KW23D5.xlsx]BY73X - Assembly (PM)'!$I:$I="Car Locked")+0))/'X:\BY7xx Shared Management Information\5. BY731 Line_Subs_Final  2018\01 Mike Gaffney\Quality\DPV Into Rattle Road\KW23\[Open Defects into Rattle Test Daily KW23D5.xlsx]BY73X - Assembly (PM)'!$C$4</v>
      </c>
      <c r="U26" s="8" t="e">
        <f t="shared" si="21"/>
        <v>#VALUE!</v>
      </c>
      <c r="V26" t="e">
        <f t="shared" si="22"/>
        <v>#DIV/0!</v>
      </c>
      <c r="W26" t="e">
        <f t="shared" si="23"/>
        <v>#DIV/0!</v>
      </c>
      <c r="X26" t="e">
        <f t="shared" si="24"/>
        <v>#DIV/0!</v>
      </c>
      <c r="Y26" t="e">
        <f t="shared" si="25"/>
        <v>#VALUE!</v>
      </c>
      <c r="Z26" s="3">
        <v>1.57</v>
      </c>
    </row>
    <row r="27" spans="1:26" x14ac:dyDescent="0.2">
      <c r="A27" t="s">
        <v>28</v>
      </c>
      <c r="B27" s="6" t="str">
        <f t="shared" ref="B27:B56" si="38">CONCATENATE("='",$B$1&amp;"\"&amp;$A27&amp;"\["&amp;"Open Defects into Rattle Test Daily "&amp;$A27&amp;B$3&amp;".xlsx]BY73X - Assembly (PM)'!$C$6")</f>
        <v>='X:\BY7xx Shared Management Information\5. BY731 Line_Subs_Final  2018\01 Mike Gaffney\Quality\DPV Into Rattle Road\KW24\[Open Defects into Rattle Test Daily KW24D1.xlsx]BY73X - Assembly (PM)'!$C$6</v>
      </c>
      <c r="C27" s="7" t="str">
        <f t="shared" si="28"/>
        <v>=(SUMPRODUCT(('X:\BY7xx Shared Management Information\5. BY731 Line_Subs_Final  2018\01 Mike Gaffney\Quality\DPV Into Rattle Road\KW24\[Open Defects into Rattle Test Daily KW24D1.xlsx]BY73X - Assembly (PM)'!$I:$I="Paintshop")+0)+SUMPRODUCT(('X:\BY7xx Shared Management Information\5. BY731 Line_Subs_Final  2018\01 Mike Gaffney\Quality\DPV Into Rattle Road\KW24\[Open Defects into Rattle Test Daily KW24D1.xlsx]BY73X - Assembly (PM)'!$I:$I="Paint")+0))/'X:\BY7xx Shared Management Information\5. BY731 Line_Subs_Final  2018\01 Mike Gaffney\Quality\DPV Into Rattle Road\KW24\[Open Defects into Rattle Test Daily KW24D1.xlsx]BY73X - Assembly (PM)'!$C$4</v>
      </c>
      <c r="D27" s="7" t="str">
        <f t="shared" si="29"/>
        <v>=(SUMPRODUCT(('X:\BY7xx Shared Management Information\5. BY731 Line_Subs_Final  2018\01 Mike Gaffney\Quality\DPV Into Rattle Road\KW24\[Open Defects into Rattle Test Daily KW24D1.xlsx]BY73X - Assembly (PM)'!$I:$I="Car Locked")+0))/'X:\BY7xx Shared Management Information\5. BY731 Line_Subs_Final  2018\01 Mike Gaffney\Quality\DPV Into Rattle Road\KW24\[Open Defects into Rattle Test Daily KW24D1.xlsx]BY73X - Assembly (PM)'!$C$4</v>
      </c>
      <c r="E27" s="8" t="e">
        <f t="shared" si="17"/>
        <v>#VALUE!</v>
      </c>
      <c r="F27" s="6" t="str">
        <f t="shared" ref="F27:F56" si="39">CONCATENATE("='",$B$1&amp;"\"&amp;$A27&amp;"\["&amp;"Open Defects into Rattle Test Daily "&amp;$A27&amp;F$3&amp;".xlsx]BY73X - Assembly (PM)'!$C$6")</f>
        <v>='X:\BY7xx Shared Management Information\5. BY731 Line_Subs_Final  2018\01 Mike Gaffney\Quality\DPV Into Rattle Road\KW24\[Open Defects into Rattle Test Daily KW24D2.xlsx]BY73X - Assembly (PM)'!$C$6</v>
      </c>
      <c r="G27" s="7" t="str">
        <f t="shared" si="30"/>
        <v>=(SUMPRODUCT(('X:\BY7xx Shared Management Information\5. BY731 Line_Subs_Final  2018\01 Mike Gaffney\Quality\DPV Into Rattle Road\KW24\[Open Defects into Rattle Test Daily KW24D2.xlsx]BY73X - Assembly (PM)'!$I:$I="Paintshop")+0)+SUMPRODUCT(('X:\BY7xx Shared Management Information\5. BY731 Line_Subs_Final  2018\01 Mike Gaffney\Quality\DPV Into Rattle Road\KW24\[Open Defects into Rattle Test Daily KW24D2.xlsx]BY73X - Assembly (PM)'!$I:$I="Paint")+0))/'X:\BY7xx Shared Management Information\5. BY731 Line_Subs_Final  2018\01 Mike Gaffney\Quality\DPV Into Rattle Road\KW24\[Open Defects into Rattle Test Daily KW24D2.xlsx]BY73X - Assembly (PM)'!$C$4</v>
      </c>
      <c r="H27" s="7" t="str">
        <f t="shared" si="31"/>
        <v>=(SUMPRODUCT(('X:\BY7xx Shared Management Information\5. BY731 Line_Subs_Final  2018\01 Mike Gaffney\Quality\DPV Into Rattle Road\KW24\[Open Defects into Rattle Test Daily KW24D2.xlsx]BY73X - Assembly (PM)'!$I:$I="Car Locked")+0))/'X:\BY7xx Shared Management Information\5. BY731 Line_Subs_Final  2018\01 Mike Gaffney\Quality\DPV Into Rattle Road\KW24\[Open Defects into Rattle Test Daily KW24D2.xlsx]BY73X - Assembly (PM)'!$C$4</v>
      </c>
      <c r="I27" s="8" t="e">
        <f t="shared" si="18"/>
        <v>#VALUE!</v>
      </c>
      <c r="J27" s="6" t="str">
        <f t="shared" ref="J27:J56" si="40">CONCATENATE("='",$B$1&amp;"\"&amp;$A27&amp;"\["&amp;"Open Defects into Rattle Test Daily "&amp;$A27&amp;J$3&amp;".xlsx]BY73X - Assembly (PM)'!$C$6")</f>
        <v>='X:\BY7xx Shared Management Information\5. BY731 Line_Subs_Final  2018\01 Mike Gaffney\Quality\DPV Into Rattle Road\KW24\[Open Defects into Rattle Test Daily KW24D3.xlsx]BY73X - Assembly (PM)'!$C$6</v>
      </c>
      <c r="K27" s="7" t="str">
        <f t="shared" si="32"/>
        <v>=(SUMPRODUCT(('X:\BY7xx Shared Management Information\5. BY731 Line_Subs_Final  2018\01 Mike Gaffney\Quality\DPV Into Rattle Road\KW24\[Open Defects into Rattle Test Daily KW24D3.xlsx]BY73X - Assembly (PM)'!$I:$I="Paintshop")+0)+SUMPRODUCT(('X:\BY7xx Shared Management Information\5. BY731 Line_Subs_Final  2018\01 Mike Gaffney\Quality\DPV Into Rattle Road\KW24\[Open Defects into Rattle Test Daily KW24D3.xlsx]BY73X - Assembly (PM)'!$I:$I="Paint")+0))/'X:\BY7xx Shared Management Information\5. BY731 Line_Subs_Final  2018\01 Mike Gaffney\Quality\DPV Into Rattle Road\KW24\[Open Defects into Rattle Test Daily KW24D3.xlsx]BY73X - Assembly (PM)'!$C$4</v>
      </c>
      <c r="L27" s="7" t="str">
        <f t="shared" si="33"/>
        <v>=(SUMPRODUCT(('X:\BY7xx Shared Management Information\5. BY731 Line_Subs_Final  2018\01 Mike Gaffney\Quality\DPV Into Rattle Road\KW24\[Open Defects into Rattle Test Daily KW24D3.xlsx]BY73X - Assembly (PM)'!$I:$I="Car Locked")+0))/'X:\BY7xx Shared Management Information\5. BY731 Line_Subs_Final  2018\01 Mike Gaffney\Quality\DPV Into Rattle Road\KW24\[Open Defects into Rattle Test Daily KW24D3.xlsx]BY73X - Assembly (PM)'!$C$4</v>
      </c>
      <c r="M27" s="8" t="e">
        <f t="shared" si="19"/>
        <v>#VALUE!</v>
      </c>
      <c r="N27" s="6" t="str">
        <f t="shared" ref="N27:R56" si="41">CONCATENATE("='",$B$1&amp;"\"&amp;$A27&amp;"\["&amp;"Open Defects into Rattle Test Daily "&amp;$A27&amp;N$3&amp;".xlsx]BY73X - Assembly (PM)'!$C$6")</f>
        <v>='X:\BY7xx Shared Management Information\5. BY731 Line_Subs_Final  2018\01 Mike Gaffney\Quality\DPV Into Rattle Road\KW24\[Open Defects into Rattle Test Daily KW24D4.xlsx]BY73X - Assembly (PM)'!$C$6</v>
      </c>
      <c r="O27" s="7" t="str">
        <f t="shared" si="34"/>
        <v>=(SUMPRODUCT(('X:\BY7xx Shared Management Information\5. BY731 Line_Subs_Final  2018\01 Mike Gaffney\Quality\DPV Into Rattle Road\KW24\[Open Defects into Rattle Test Daily KW24D4.xlsx]BY73X - Assembly (PM)'!$I:$I="Paintshop")+0)+SUMPRODUCT(('X:\BY7xx Shared Management Information\5. BY731 Line_Subs_Final  2018\01 Mike Gaffney\Quality\DPV Into Rattle Road\KW24\[Open Defects into Rattle Test Daily KW24D4.xlsx]BY73X - Assembly (PM)'!$I:$I="Paint")+0))/'X:\BY7xx Shared Management Information\5. BY731 Line_Subs_Final  2018\01 Mike Gaffney\Quality\DPV Into Rattle Road\KW24\[Open Defects into Rattle Test Daily KW24D4.xlsx]BY73X - Assembly (PM)'!$C$4</v>
      </c>
      <c r="P27" s="7" t="str">
        <f t="shared" si="35"/>
        <v>=(SUMPRODUCT(('X:\BY7xx Shared Management Information\5. BY731 Line_Subs_Final  2018\01 Mike Gaffney\Quality\DPV Into Rattle Road\KW24\[Open Defects into Rattle Test Daily KW24D4.xlsx]BY73X - Assembly (PM)'!$I:$I="Car Locked")+0))/'X:\BY7xx Shared Management Information\5. BY731 Line_Subs_Final  2018\01 Mike Gaffney\Quality\DPV Into Rattle Road\KW24\[Open Defects into Rattle Test Daily KW24D4.xlsx]BY73X - Assembly (PM)'!$C$4</v>
      </c>
      <c r="Q27" s="8" t="e">
        <f t="shared" si="20"/>
        <v>#VALUE!</v>
      </c>
      <c r="R27" s="6" t="str">
        <f t="shared" si="41"/>
        <v>='X:\BY7xx Shared Management Information\5. BY731 Line_Subs_Final  2018\01 Mike Gaffney\Quality\DPV Into Rattle Road\KW24\[Open Defects into Rattle Test Daily KW24D5.xlsx]BY73X - Assembly (PM)'!$C$6</v>
      </c>
      <c r="S27" s="7" t="str">
        <f t="shared" si="36"/>
        <v>=(SUMPRODUCT(('X:\BY7xx Shared Management Information\5. BY731 Line_Subs_Final  2018\01 Mike Gaffney\Quality\DPV Into Rattle Road\KW24\[Open Defects into Rattle Test Daily KW24D5.xlsx]BY73X - Assembly (PM)'!$I:$I="Paintshop")+0)+SUMPRODUCT(('X:\BY7xx Shared Management Information\5. BY731 Line_Subs_Final  2018\01 Mike Gaffney\Quality\DPV Into Rattle Road\KW24\[Open Defects into Rattle Test Daily KW24D5.xlsx]BY73X - Assembly (PM)'!$I:$I="Paint")+0))/'X:\BY7xx Shared Management Information\5. BY731 Line_Subs_Final  2018\01 Mike Gaffney\Quality\DPV Into Rattle Road\KW24\[Open Defects into Rattle Test Daily KW24D5.xlsx]BY73X - Assembly (PM)'!$C$4</v>
      </c>
      <c r="T27" s="7" t="str">
        <f t="shared" si="37"/>
        <v>=(SUMPRODUCT(('X:\BY7xx Shared Management Information\5. BY731 Line_Subs_Final  2018\01 Mike Gaffney\Quality\DPV Into Rattle Road\KW24\[Open Defects into Rattle Test Daily KW24D5.xlsx]BY73X - Assembly (PM)'!$I:$I="Car Locked")+0))/'X:\BY7xx Shared Management Information\5. BY731 Line_Subs_Final  2018\01 Mike Gaffney\Quality\DPV Into Rattle Road\KW24\[Open Defects into Rattle Test Daily KW24D5.xlsx]BY73X - Assembly (PM)'!$C$4</v>
      </c>
      <c r="U27" s="8" t="e">
        <f t="shared" si="21"/>
        <v>#VALUE!</v>
      </c>
      <c r="V27" t="e">
        <f t="shared" si="22"/>
        <v>#DIV/0!</v>
      </c>
      <c r="W27" t="e">
        <f t="shared" si="23"/>
        <v>#DIV/0!</v>
      </c>
      <c r="X27" t="e">
        <f t="shared" si="24"/>
        <v>#DIV/0!</v>
      </c>
      <c r="Y27" t="e">
        <f t="shared" si="25"/>
        <v>#VALUE!</v>
      </c>
      <c r="Z27" s="3">
        <v>1.57</v>
      </c>
    </row>
    <row r="28" spans="1:26" x14ac:dyDescent="0.2">
      <c r="A28" t="s">
        <v>29</v>
      </c>
      <c r="B28" s="6" t="str">
        <f t="shared" si="38"/>
        <v>='X:\BY7xx Shared Management Information\5. BY731 Line_Subs_Final  2018\01 Mike Gaffney\Quality\DPV Into Rattle Road\KW25\[Open Defects into Rattle Test Daily KW25D1.xlsx]BY73X - Assembly (PM)'!$C$6</v>
      </c>
      <c r="C28" s="7" t="str">
        <f t="shared" si="28"/>
        <v>=(SUMPRODUCT(('X:\BY7xx Shared Management Information\5. BY731 Line_Subs_Final  2018\01 Mike Gaffney\Quality\DPV Into Rattle Road\KW25\[Open Defects into Rattle Test Daily KW25D1.xlsx]BY73X - Assembly (PM)'!$I:$I="Paintshop")+0)+SUMPRODUCT(('X:\BY7xx Shared Management Information\5. BY731 Line_Subs_Final  2018\01 Mike Gaffney\Quality\DPV Into Rattle Road\KW25\[Open Defects into Rattle Test Daily KW25D1.xlsx]BY73X - Assembly (PM)'!$I:$I="Paint")+0))/'X:\BY7xx Shared Management Information\5. BY731 Line_Subs_Final  2018\01 Mike Gaffney\Quality\DPV Into Rattle Road\KW25\[Open Defects into Rattle Test Daily KW25D1.xlsx]BY73X - Assembly (PM)'!$C$4</v>
      </c>
      <c r="D28" s="7" t="str">
        <f t="shared" si="29"/>
        <v>=(SUMPRODUCT(('X:\BY7xx Shared Management Information\5. BY731 Line_Subs_Final  2018\01 Mike Gaffney\Quality\DPV Into Rattle Road\KW25\[Open Defects into Rattle Test Daily KW25D1.xlsx]BY73X - Assembly (PM)'!$I:$I="Car Locked")+0))/'X:\BY7xx Shared Management Information\5. BY731 Line_Subs_Final  2018\01 Mike Gaffney\Quality\DPV Into Rattle Road\KW25\[Open Defects into Rattle Test Daily KW25D1.xlsx]BY73X - Assembly (PM)'!$C$4</v>
      </c>
      <c r="E28" s="8" t="e">
        <f t="shared" si="17"/>
        <v>#VALUE!</v>
      </c>
      <c r="F28" s="6" t="str">
        <f t="shared" si="39"/>
        <v>='X:\BY7xx Shared Management Information\5. BY731 Line_Subs_Final  2018\01 Mike Gaffney\Quality\DPV Into Rattle Road\KW25\[Open Defects into Rattle Test Daily KW25D2.xlsx]BY73X - Assembly (PM)'!$C$6</v>
      </c>
      <c r="G28" s="7" t="str">
        <f t="shared" si="30"/>
        <v>=(SUMPRODUCT(('X:\BY7xx Shared Management Information\5. BY731 Line_Subs_Final  2018\01 Mike Gaffney\Quality\DPV Into Rattle Road\KW25\[Open Defects into Rattle Test Daily KW25D2.xlsx]BY73X - Assembly (PM)'!$I:$I="Paintshop")+0)+SUMPRODUCT(('X:\BY7xx Shared Management Information\5. BY731 Line_Subs_Final  2018\01 Mike Gaffney\Quality\DPV Into Rattle Road\KW25\[Open Defects into Rattle Test Daily KW25D2.xlsx]BY73X - Assembly (PM)'!$I:$I="Paint")+0))/'X:\BY7xx Shared Management Information\5. BY731 Line_Subs_Final  2018\01 Mike Gaffney\Quality\DPV Into Rattle Road\KW25\[Open Defects into Rattle Test Daily KW25D2.xlsx]BY73X - Assembly (PM)'!$C$4</v>
      </c>
      <c r="H28" s="7" t="str">
        <f t="shared" si="31"/>
        <v>=(SUMPRODUCT(('X:\BY7xx Shared Management Information\5. BY731 Line_Subs_Final  2018\01 Mike Gaffney\Quality\DPV Into Rattle Road\KW25\[Open Defects into Rattle Test Daily KW25D2.xlsx]BY73X - Assembly (PM)'!$I:$I="Car Locked")+0))/'X:\BY7xx Shared Management Information\5. BY731 Line_Subs_Final  2018\01 Mike Gaffney\Quality\DPV Into Rattle Road\KW25\[Open Defects into Rattle Test Daily KW25D2.xlsx]BY73X - Assembly (PM)'!$C$4</v>
      </c>
      <c r="I28" s="8" t="e">
        <f t="shared" si="18"/>
        <v>#VALUE!</v>
      </c>
      <c r="J28" s="6" t="str">
        <f t="shared" si="40"/>
        <v>='X:\BY7xx Shared Management Information\5. BY731 Line_Subs_Final  2018\01 Mike Gaffney\Quality\DPV Into Rattle Road\KW25\[Open Defects into Rattle Test Daily KW25D3.xlsx]BY73X - Assembly (PM)'!$C$6</v>
      </c>
      <c r="K28" s="7" t="str">
        <f t="shared" si="32"/>
        <v>=(SUMPRODUCT(('X:\BY7xx Shared Management Information\5. BY731 Line_Subs_Final  2018\01 Mike Gaffney\Quality\DPV Into Rattle Road\KW25\[Open Defects into Rattle Test Daily KW25D3.xlsx]BY73X - Assembly (PM)'!$I:$I="Paintshop")+0)+SUMPRODUCT(('X:\BY7xx Shared Management Information\5. BY731 Line_Subs_Final  2018\01 Mike Gaffney\Quality\DPV Into Rattle Road\KW25\[Open Defects into Rattle Test Daily KW25D3.xlsx]BY73X - Assembly (PM)'!$I:$I="Paint")+0))/'X:\BY7xx Shared Management Information\5. BY731 Line_Subs_Final  2018\01 Mike Gaffney\Quality\DPV Into Rattle Road\KW25\[Open Defects into Rattle Test Daily KW25D3.xlsx]BY73X - Assembly (PM)'!$C$4</v>
      </c>
      <c r="L28" s="7" t="str">
        <f t="shared" si="33"/>
        <v>=(SUMPRODUCT(('X:\BY7xx Shared Management Information\5. BY731 Line_Subs_Final  2018\01 Mike Gaffney\Quality\DPV Into Rattle Road\KW25\[Open Defects into Rattle Test Daily KW25D3.xlsx]BY73X - Assembly (PM)'!$I:$I="Car Locked")+0))/'X:\BY7xx Shared Management Information\5. BY731 Line_Subs_Final  2018\01 Mike Gaffney\Quality\DPV Into Rattle Road\KW25\[Open Defects into Rattle Test Daily KW25D3.xlsx]BY73X - Assembly (PM)'!$C$4</v>
      </c>
      <c r="M28" s="8" t="e">
        <f t="shared" si="19"/>
        <v>#VALUE!</v>
      </c>
      <c r="N28" s="6" t="str">
        <f t="shared" si="41"/>
        <v>='X:\BY7xx Shared Management Information\5. BY731 Line_Subs_Final  2018\01 Mike Gaffney\Quality\DPV Into Rattle Road\KW25\[Open Defects into Rattle Test Daily KW25D4.xlsx]BY73X - Assembly (PM)'!$C$6</v>
      </c>
      <c r="O28" s="7" t="str">
        <f t="shared" si="34"/>
        <v>=(SUMPRODUCT(('X:\BY7xx Shared Management Information\5. BY731 Line_Subs_Final  2018\01 Mike Gaffney\Quality\DPV Into Rattle Road\KW25\[Open Defects into Rattle Test Daily KW25D4.xlsx]BY73X - Assembly (PM)'!$I:$I="Paintshop")+0)+SUMPRODUCT(('X:\BY7xx Shared Management Information\5. BY731 Line_Subs_Final  2018\01 Mike Gaffney\Quality\DPV Into Rattle Road\KW25\[Open Defects into Rattle Test Daily KW25D4.xlsx]BY73X - Assembly (PM)'!$I:$I="Paint")+0))/'X:\BY7xx Shared Management Information\5. BY731 Line_Subs_Final  2018\01 Mike Gaffney\Quality\DPV Into Rattle Road\KW25\[Open Defects into Rattle Test Daily KW25D4.xlsx]BY73X - Assembly (PM)'!$C$4</v>
      </c>
      <c r="P28" s="7" t="str">
        <f t="shared" si="35"/>
        <v>=(SUMPRODUCT(('X:\BY7xx Shared Management Information\5. BY731 Line_Subs_Final  2018\01 Mike Gaffney\Quality\DPV Into Rattle Road\KW25\[Open Defects into Rattle Test Daily KW25D4.xlsx]BY73X - Assembly (PM)'!$I:$I="Car Locked")+0))/'X:\BY7xx Shared Management Information\5. BY731 Line_Subs_Final  2018\01 Mike Gaffney\Quality\DPV Into Rattle Road\KW25\[Open Defects into Rattle Test Daily KW25D4.xlsx]BY73X - Assembly (PM)'!$C$4</v>
      </c>
      <c r="Q28" s="8" t="e">
        <f t="shared" si="20"/>
        <v>#VALUE!</v>
      </c>
      <c r="R28" s="6" t="str">
        <f t="shared" si="41"/>
        <v>='X:\BY7xx Shared Management Information\5. BY731 Line_Subs_Final  2018\01 Mike Gaffney\Quality\DPV Into Rattle Road\KW25\[Open Defects into Rattle Test Daily KW25D5.xlsx]BY73X - Assembly (PM)'!$C$6</v>
      </c>
      <c r="S28" s="7" t="str">
        <f t="shared" si="36"/>
        <v>=(SUMPRODUCT(('X:\BY7xx Shared Management Information\5. BY731 Line_Subs_Final  2018\01 Mike Gaffney\Quality\DPV Into Rattle Road\KW25\[Open Defects into Rattle Test Daily KW25D5.xlsx]BY73X - Assembly (PM)'!$I:$I="Paintshop")+0)+SUMPRODUCT(('X:\BY7xx Shared Management Information\5. BY731 Line_Subs_Final  2018\01 Mike Gaffney\Quality\DPV Into Rattle Road\KW25\[Open Defects into Rattle Test Daily KW25D5.xlsx]BY73X - Assembly (PM)'!$I:$I="Paint")+0))/'X:\BY7xx Shared Management Information\5. BY731 Line_Subs_Final  2018\01 Mike Gaffney\Quality\DPV Into Rattle Road\KW25\[Open Defects into Rattle Test Daily KW25D5.xlsx]BY73X - Assembly (PM)'!$C$4</v>
      </c>
      <c r="T28" s="7" t="str">
        <f t="shared" si="37"/>
        <v>=(SUMPRODUCT(('X:\BY7xx Shared Management Information\5. BY731 Line_Subs_Final  2018\01 Mike Gaffney\Quality\DPV Into Rattle Road\KW25\[Open Defects into Rattle Test Daily KW25D5.xlsx]BY73X - Assembly (PM)'!$I:$I="Car Locked")+0))/'X:\BY7xx Shared Management Information\5. BY731 Line_Subs_Final  2018\01 Mike Gaffney\Quality\DPV Into Rattle Road\KW25\[Open Defects into Rattle Test Daily KW25D5.xlsx]BY73X - Assembly (PM)'!$C$4</v>
      </c>
      <c r="U28" s="8" t="e">
        <f t="shared" si="21"/>
        <v>#VALUE!</v>
      </c>
      <c r="V28" t="e">
        <f t="shared" si="22"/>
        <v>#DIV/0!</v>
      </c>
      <c r="W28" t="e">
        <f t="shared" si="23"/>
        <v>#DIV/0!</v>
      </c>
      <c r="X28" t="e">
        <f t="shared" si="24"/>
        <v>#DIV/0!</v>
      </c>
      <c r="Y28" t="e">
        <f t="shared" si="25"/>
        <v>#VALUE!</v>
      </c>
      <c r="Z28" s="3">
        <v>1.57</v>
      </c>
    </row>
    <row r="29" spans="1:26" x14ac:dyDescent="0.2">
      <c r="A29" t="s">
        <v>30</v>
      </c>
      <c r="B29" s="6" t="str">
        <f t="shared" si="38"/>
        <v>='X:\BY7xx Shared Management Information\5. BY731 Line_Subs_Final  2018\01 Mike Gaffney\Quality\DPV Into Rattle Road\KW26\[Open Defects into Rattle Test Daily KW26D1.xlsx]BY73X - Assembly (PM)'!$C$6</v>
      </c>
      <c r="C29" s="7" t="str">
        <f t="shared" si="28"/>
        <v>=(SUMPRODUCT(('X:\BY7xx Shared Management Information\5. BY731 Line_Subs_Final  2018\01 Mike Gaffney\Quality\DPV Into Rattle Road\KW26\[Open Defects into Rattle Test Daily KW26D1.xlsx]BY73X - Assembly (PM)'!$I:$I="Paintshop")+0)+SUMPRODUCT(('X:\BY7xx Shared Management Information\5. BY731 Line_Subs_Final  2018\01 Mike Gaffney\Quality\DPV Into Rattle Road\KW26\[Open Defects into Rattle Test Daily KW26D1.xlsx]BY73X - Assembly (PM)'!$I:$I="Paint")+0))/'X:\BY7xx Shared Management Information\5. BY731 Line_Subs_Final  2018\01 Mike Gaffney\Quality\DPV Into Rattle Road\KW26\[Open Defects into Rattle Test Daily KW26D1.xlsx]BY73X - Assembly (PM)'!$C$4</v>
      </c>
      <c r="D29" s="7" t="str">
        <f t="shared" si="29"/>
        <v>=(SUMPRODUCT(('X:\BY7xx Shared Management Information\5. BY731 Line_Subs_Final  2018\01 Mike Gaffney\Quality\DPV Into Rattle Road\KW26\[Open Defects into Rattle Test Daily KW26D1.xlsx]BY73X - Assembly (PM)'!$I:$I="Car Locked")+0))/'X:\BY7xx Shared Management Information\5. BY731 Line_Subs_Final  2018\01 Mike Gaffney\Quality\DPV Into Rattle Road\KW26\[Open Defects into Rattle Test Daily KW26D1.xlsx]BY73X - Assembly (PM)'!$C$4</v>
      </c>
      <c r="E29" s="8" t="e">
        <f t="shared" si="17"/>
        <v>#VALUE!</v>
      </c>
      <c r="F29" s="6" t="str">
        <f t="shared" si="39"/>
        <v>='X:\BY7xx Shared Management Information\5. BY731 Line_Subs_Final  2018\01 Mike Gaffney\Quality\DPV Into Rattle Road\KW26\[Open Defects into Rattle Test Daily KW26D2.xlsx]BY73X - Assembly (PM)'!$C$6</v>
      </c>
      <c r="G29" s="7" t="str">
        <f t="shared" si="30"/>
        <v>=(SUMPRODUCT(('X:\BY7xx Shared Management Information\5. BY731 Line_Subs_Final  2018\01 Mike Gaffney\Quality\DPV Into Rattle Road\KW26\[Open Defects into Rattle Test Daily KW26D2.xlsx]BY73X - Assembly (PM)'!$I:$I="Paintshop")+0)+SUMPRODUCT(('X:\BY7xx Shared Management Information\5. BY731 Line_Subs_Final  2018\01 Mike Gaffney\Quality\DPV Into Rattle Road\KW26\[Open Defects into Rattle Test Daily KW26D2.xlsx]BY73X - Assembly (PM)'!$I:$I="Paint")+0))/'X:\BY7xx Shared Management Information\5. BY731 Line_Subs_Final  2018\01 Mike Gaffney\Quality\DPV Into Rattle Road\KW26\[Open Defects into Rattle Test Daily KW26D2.xlsx]BY73X - Assembly (PM)'!$C$4</v>
      </c>
      <c r="H29" s="7" t="str">
        <f t="shared" si="31"/>
        <v>=(SUMPRODUCT(('X:\BY7xx Shared Management Information\5. BY731 Line_Subs_Final  2018\01 Mike Gaffney\Quality\DPV Into Rattle Road\KW26\[Open Defects into Rattle Test Daily KW26D2.xlsx]BY73X - Assembly (PM)'!$I:$I="Car Locked")+0))/'X:\BY7xx Shared Management Information\5. BY731 Line_Subs_Final  2018\01 Mike Gaffney\Quality\DPV Into Rattle Road\KW26\[Open Defects into Rattle Test Daily KW26D2.xlsx]BY73X - Assembly (PM)'!$C$4</v>
      </c>
      <c r="I29" s="8" t="e">
        <f t="shared" si="18"/>
        <v>#VALUE!</v>
      </c>
      <c r="J29" s="6" t="str">
        <f t="shared" si="40"/>
        <v>='X:\BY7xx Shared Management Information\5. BY731 Line_Subs_Final  2018\01 Mike Gaffney\Quality\DPV Into Rattle Road\KW26\[Open Defects into Rattle Test Daily KW26D3.xlsx]BY73X - Assembly (PM)'!$C$6</v>
      </c>
      <c r="K29" s="7" t="str">
        <f t="shared" si="32"/>
        <v>=(SUMPRODUCT(('X:\BY7xx Shared Management Information\5. BY731 Line_Subs_Final  2018\01 Mike Gaffney\Quality\DPV Into Rattle Road\KW26\[Open Defects into Rattle Test Daily KW26D3.xlsx]BY73X - Assembly (PM)'!$I:$I="Paintshop")+0)+SUMPRODUCT(('X:\BY7xx Shared Management Information\5. BY731 Line_Subs_Final  2018\01 Mike Gaffney\Quality\DPV Into Rattle Road\KW26\[Open Defects into Rattle Test Daily KW26D3.xlsx]BY73X - Assembly (PM)'!$I:$I="Paint")+0))/'X:\BY7xx Shared Management Information\5. BY731 Line_Subs_Final  2018\01 Mike Gaffney\Quality\DPV Into Rattle Road\KW26\[Open Defects into Rattle Test Daily KW26D3.xlsx]BY73X - Assembly (PM)'!$C$4</v>
      </c>
      <c r="L29" s="7" t="str">
        <f t="shared" si="33"/>
        <v>=(SUMPRODUCT(('X:\BY7xx Shared Management Information\5. BY731 Line_Subs_Final  2018\01 Mike Gaffney\Quality\DPV Into Rattle Road\KW26\[Open Defects into Rattle Test Daily KW26D3.xlsx]BY73X - Assembly (PM)'!$I:$I="Car Locked")+0))/'X:\BY7xx Shared Management Information\5. BY731 Line_Subs_Final  2018\01 Mike Gaffney\Quality\DPV Into Rattle Road\KW26\[Open Defects into Rattle Test Daily KW26D3.xlsx]BY73X - Assembly (PM)'!$C$4</v>
      </c>
      <c r="M29" s="8" t="e">
        <f t="shared" si="19"/>
        <v>#VALUE!</v>
      </c>
      <c r="N29" s="6" t="str">
        <f t="shared" si="41"/>
        <v>='X:\BY7xx Shared Management Information\5. BY731 Line_Subs_Final  2018\01 Mike Gaffney\Quality\DPV Into Rattle Road\KW26\[Open Defects into Rattle Test Daily KW26D4.xlsx]BY73X - Assembly (PM)'!$C$6</v>
      </c>
      <c r="O29" s="7" t="str">
        <f t="shared" si="34"/>
        <v>=(SUMPRODUCT(('X:\BY7xx Shared Management Information\5. BY731 Line_Subs_Final  2018\01 Mike Gaffney\Quality\DPV Into Rattle Road\KW26\[Open Defects into Rattle Test Daily KW26D4.xlsx]BY73X - Assembly (PM)'!$I:$I="Paintshop")+0)+SUMPRODUCT(('X:\BY7xx Shared Management Information\5. BY731 Line_Subs_Final  2018\01 Mike Gaffney\Quality\DPV Into Rattle Road\KW26\[Open Defects into Rattle Test Daily KW26D4.xlsx]BY73X - Assembly (PM)'!$I:$I="Paint")+0))/'X:\BY7xx Shared Management Information\5. BY731 Line_Subs_Final  2018\01 Mike Gaffney\Quality\DPV Into Rattle Road\KW26\[Open Defects into Rattle Test Daily KW26D4.xlsx]BY73X - Assembly (PM)'!$C$4</v>
      </c>
      <c r="P29" s="7" t="str">
        <f t="shared" si="35"/>
        <v>=(SUMPRODUCT(('X:\BY7xx Shared Management Information\5. BY731 Line_Subs_Final  2018\01 Mike Gaffney\Quality\DPV Into Rattle Road\KW26\[Open Defects into Rattle Test Daily KW26D4.xlsx]BY73X - Assembly (PM)'!$I:$I="Car Locked")+0))/'X:\BY7xx Shared Management Information\5. BY731 Line_Subs_Final  2018\01 Mike Gaffney\Quality\DPV Into Rattle Road\KW26\[Open Defects into Rattle Test Daily KW26D4.xlsx]BY73X - Assembly (PM)'!$C$4</v>
      </c>
      <c r="Q29" s="8" t="e">
        <f t="shared" si="20"/>
        <v>#VALUE!</v>
      </c>
      <c r="R29" s="6" t="str">
        <f t="shared" si="41"/>
        <v>='X:\BY7xx Shared Management Information\5. BY731 Line_Subs_Final  2018\01 Mike Gaffney\Quality\DPV Into Rattle Road\KW26\[Open Defects into Rattle Test Daily KW26D5.xlsx]BY73X - Assembly (PM)'!$C$6</v>
      </c>
      <c r="S29" s="7" t="str">
        <f t="shared" si="36"/>
        <v>=(SUMPRODUCT(('X:\BY7xx Shared Management Information\5. BY731 Line_Subs_Final  2018\01 Mike Gaffney\Quality\DPV Into Rattle Road\KW26\[Open Defects into Rattle Test Daily KW26D5.xlsx]BY73X - Assembly (PM)'!$I:$I="Paintshop")+0)+SUMPRODUCT(('X:\BY7xx Shared Management Information\5. BY731 Line_Subs_Final  2018\01 Mike Gaffney\Quality\DPV Into Rattle Road\KW26\[Open Defects into Rattle Test Daily KW26D5.xlsx]BY73X - Assembly (PM)'!$I:$I="Paint")+0))/'X:\BY7xx Shared Management Information\5. BY731 Line_Subs_Final  2018\01 Mike Gaffney\Quality\DPV Into Rattle Road\KW26\[Open Defects into Rattle Test Daily KW26D5.xlsx]BY73X - Assembly (PM)'!$C$4</v>
      </c>
      <c r="T29" s="7" t="str">
        <f t="shared" si="37"/>
        <v>=(SUMPRODUCT(('X:\BY7xx Shared Management Information\5. BY731 Line_Subs_Final  2018\01 Mike Gaffney\Quality\DPV Into Rattle Road\KW26\[Open Defects into Rattle Test Daily KW26D5.xlsx]BY73X - Assembly (PM)'!$I:$I="Car Locked")+0))/'X:\BY7xx Shared Management Information\5. BY731 Line_Subs_Final  2018\01 Mike Gaffney\Quality\DPV Into Rattle Road\KW26\[Open Defects into Rattle Test Daily KW26D5.xlsx]BY73X - Assembly (PM)'!$C$4</v>
      </c>
      <c r="U29" s="8" t="e">
        <f t="shared" si="21"/>
        <v>#VALUE!</v>
      </c>
      <c r="V29" t="e">
        <f t="shared" si="22"/>
        <v>#DIV/0!</v>
      </c>
      <c r="W29" t="e">
        <f t="shared" si="23"/>
        <v>#DIV/0!</v>
      </c>
      <c r="X29" t="e">
        <f t="shared" si="24"/>
        <v>#DIV/0!</v>
      </c>
      <c r="Y29" t="e">
        <f t="shared" si="25"/>
        <v>#VALUE!</v>
      </c>
      <c r="Z29" s="3">
        <v>1.57</v>
      </c>
    </row>
    <row r="30" spans="1:26" x14ac:dyDescent="0.2">
      <c r="A30" t="s">
        <v>31</v>
      </c>
      <c r="B30" s="6" t="str">
        <f t="shared" si="38"/>
        <v>='X:\BY7xx Shared Management Information\5. BY731 Line_Subs_Final  2018\01 Mike Gaffney\Quality\DPV Into Rattle Road\KW27\[Open Defects into Rattle Test Daily KW27D1.xlsx]BY73X - Assembly (PM)'!$C$6</v>
      </c>
      <c r="C30" s="7" t="str">
        <f t="shared" si="28"/>
        <v>=(SUMPRODUCT(('X:\BY7xx Shared Management Information\5. BY731 Line_Subs_Final  2018\01 Mike Gaffney\Quality\DPV Into Rattle Road\KW27\[Open Defects into Rattle Test Daily KW27D1.xlsx]BY73X - Assembly (PM)'!$I:$I="Paintshop")+0)+SUMPRODUCT(('X:\BY7xx Shared Management Information\5. BY731 Line_Subs_Final  2018\01 Mike Gaffney\Quality\DPV Into Rattle Road\KW27\[Open Defects into Rattle Test Daily KW27D1.xlsx]BY73X - Assembly (PM)'!$I:$I="Paint")+0))/'X:\BY7xx Shared Management Information\5. BY731 Line_Subs_Final  2018\01 Mike Gaffney\Quality\DPV Into Rattle Road\KW27\[Open Defects into Rattle Test Daily KW27D1.xlsx]BY73X - Assembly (PM)'!$C$4</v>
      </c>
      <c r="D30" s="7" t="str">
        <f t="shared" si="29"/>
        <v>=(SUMPRODUCT(('X:\BY7xx Shared Management Information\5. BY731 Line_Subs_Final  2018\01 Mike Gaffney\Quality\DPV Into Rattle Road\KW27\[Open Defects into Rattle Test Daily KW27D1.xlsx]BY73X - Assembly (PM)'!$I:$I="Car Locked")+0))/'X:\BY7xx Shared Management Information\5. BY731 Line_Subs_Final  2018\01 Mike Gaffney\Quality\DPV Into Rattle Road\KW27\[Open Defects into Rattle Test Daily KW27D1.xlsx]BY73X - Assembly (PM)'!$C$4</v>
      </c>
      <c r="E30" s="8" t="e">
        <f t="shared" si="17"/>
        <v>#VALUE!</v>
      </c>
      <c r="F30" s="6" t="str">
        <f t="shared" si="39"/>
        <v>='X:\BY7xx Shared Management Information\5. BY731 Line_Subs_Final  2018\01 Mike Gaffney\Quality\DPV Into Rattle Road\KW27\[Open Defects into Rattle Test Daily KW27D2.xlsx]BY73X - Assembly (PM)'!$C$6</v>
      </c>
      <c r="G30" s="7" t="str">
        <f t="shared" si="30"/>
        <v>=(SUMPRODUCT(('X:\BY7xx Shared Management Information\5. BY731 Line_Subs_Final  2018\01 Mike Gaffney\Quality\DPV Into Rattle Road\KW27\[Open Defects into Rattle Test Daily KW27D2.xlsx]BY73X - Assembly (PM)'!$I:$I="Paintshop")+0)+SUMPRODUCT(('X:\BY7xx Shared Management Information\5. BY731 Line_Subs_Final  2018\01 Mike Gaffney\Quality\DPV Into Rattle Road\KW27\[Open Defects into Rattle Test Daily KW27D2.xlsx]BY73X - Assembly (PM)'!$I:$I="Paint")+0))/'X:\BY7xx Shared Management Information\5. BY731 Line_Subs_Final  2018\01 Mike Gaffney\Quality\DPV Into Rattle Road\KW27\[Open Defects into Rattle Test Daily KW27D2.xlsx]BY73X - Assembly (PM)'!$C$4</v>
      </c>
      <c r="H30" s="7" t="str">
        <f t="shared" si="31"/>
        <v>=(SUMPRODUCT(('X:\BY7xx Shared Management Information\5. BY731 Line_Subs_Final  2018\01 Mike Gaffney\Quality\DPV Into Rattle Road\KW27\[Open Defects into Rattle Test Daily KW27D2.xlsx]BY73X - Assembly (PM)'!$I:$I="Car Locked")+0))/'X:\BY7xx Shared Management Information\5. BY731 Line_Subs_Final  2018\01 Mike Gaffney\Quality\DPV Into Rattle Road\KW27\[Open Defects into Rattle Test Daily KW27D2.xlsx]BY73X - Assembly (PM)'!$C$4</v>
      </c>
      <c r="I30" s="8" t="e">
        <f t="shared" si="18"/>
        <v>#VALUE!</v>
      </c>
      <c r="J30" s="6" t="str">
        <f t="shared" si="40"/>
        <v>='X:\BY7xx Shared Management Information\5. BY731 Line_Subs_Final  2018\01 Mike Gaffney\Quality\DPV Into Rattle Road\KW27\[Open Defects into Rattle Test Daily KW27D3.xlsx]BY73X - Assembly (PM)'!$C$6</v>
      </c>
      <c r="K30" s="7" t="str">
        <f t="shared" si="32"/>
        <v>=(SUMPRODUCT(('X:\BY7xx Shared Management Information\5. BY731 Line_Subs_Final  2018\01 Mike Gaffney\Quality\DPV Into Rattle Road\KW27\[Open Defects into Rattle Test Daily KW27D3.xlsx]BY73X - Assembly (PM)'!$I:$I="Paintshop")+0)+SUMPRODUCT(('X:\BY7xx Shared Management Information\5. BY731 Line_Subs_Final  2018\01 Mike Gaffney\Quality\DPV Into Rattle Road\KW27\[Open Defects into Rattle Test Daily KW27D3.xlsx]BY73X - Assembly (PM)'!$I:$I="Paint")+0))/'X:\BY7xx Shared Management Information\5. BY731 Line_Subs_Final  2018\01 Mike Gaffney\Quality\DPV Into Rattle Road\KW27\[Open Defects into Rattle Test Daily KW27D3.xlsx]BY73X - Assembly (PM)'!$C$4</v>
      </c>
      <c r="L30" s="7" t="str">
        <f t="shared" si="33"/>
        <v>=(SUMPRODUCT(('X:\BY7xx Shared Management Information\5. BY731 Line_Subs_Final  2018\01 Mike Gaffney\Quality\DPV Into Rattle Road\KW27\[Open Defects into Rattle Test Daily KW27D3.xlsx]BY73X - Assembly (PM)'!$I:$I="Car Locked")+0))/'X:\BY7xx Shared Management Information\5. BY731 Line_Subs_Final  2018\01 Mike Gaffney\Quality\DPV Into Rattle Road\KW27\[Open Defects into Rattle Test Daily KW27D3.xlsx]BY73X - Assembly (PM)'!$C$4</v>
      </c>
      <c r="M30" s="8" t="e">
        <f t="shared" si="19"/>
        <v>#VALUE!</v>
      </c>
      <c r="N30" s="6" t="str">
        <f t="shared" si="41"/>
        <v>='X:\BY7xx Shared Management Information\5. BY731 Line_Subs_Final  2018\01 Mike Gaffney\Quality\DPV Into Rattle Road\KW27\[Open Defects into Rattle Test Daily KW27D4.xlsx]BY73X - Assembly (PM)'!$C$6</v>
      </c>
      <c r="O30" s="7" t="str">
        <f t="shared" si="34"/>
        <v>=(SUMPRODUCT(('X:\BY7xx Shared Management Information\5. BY731 Line_Subs_Final  2018\01 Mike Gaffney\Quality\DPV Into Rattle Road\KW27\[Open Defects into Rattle Test Daily KW27D4.xlsx]BY73X - Assembly (PM)'!$I:$I="Paintshop")+0)+SUMPRODUCT(('X:\BY7xx Shared Management Information\5. BY731 Line_Subs_Final  2018\01 Mike Gaffney\Quality\DPV Into Rattle Road\KW27\[Open Defects into Rattle Test Daily KW27D4.xlsx]BY73X - Assembly (PM)'!$I:$I="Paint")+0))/'X:\BY7xx Shared Management Information\5. BY731 Line_Subs_Final  2018\01 Mike Gaffney\Quality\DPV Into Rattle Road\KW27\[Open Defects into Rattle Test Daily KW27D4.xlsx]BY73X - Assembly (PM)'!$C$4</v>
      </c>
      <c r="P30" s="7" t="str">
        <f t="shared" si="35"/>
        <v>=(SUMPRODUCT(('X:\BY7xx Shared Management Information\5. BY731 Line_Subs_Final  2018\01 Mike Gaffney\Quality\DPV Into Rattle Road\KW27\[Open Defects into Rattle Test Daily KW27D4.xlsx]BY73X - Assembly (PM)'!$I:$I="Car Locked")+0))/'X:\BY7xx Shared Management Information\5. BY731 Line_Subs_Final  2018\01 Mike Gaffney\Quality\DPV Into Rattle Road\KW27\[Open Defects into Rattle Test Daily KW27D4.xlsx]BY73X - Assembly (PM)'!$C$4</v>
      </c>
      <c r="Q30" s="8" t="e">
        <f t="shared" si="20"/>
        <v>#VALUE!</v>
      </c>
      <c r="R30" s="6" t="str">
        <f t="shared" si="41"/>
        <v>='X:\BY7xx Shared Management Information\5. BY731 Line_Subs_Final  2018\01 Mike Gaffney\Quality\DPV Into Rattle Road\KW27\[Open Defects into Rattle Test Daily KW27D5.xlsx]BY73X - Assembly (PM)'!$C$6</v>
      </c>
      <c r="S30" s="7" t="str">
        <f t="shared" si="36"/>
        <v>=(SUMPRODUCT(('X:\BY7xx Shared Management Information\5. BY731 Line_Subs_Final  2018\01 Mike Gaffney\Quality\DPV Into Rattle Road\KW27\[Open Defects into Rattle Test Daily KW27D5.xlsx]BY73X - Assembly (PM)'!$I:$I="Paintshop")+0)+SUMPRODUCT(('X:\BY7xx Shared Management Information\5. BY731 Line_Subs_Final  2018\01 Mike Gaffney\Quality\DPV Into Rattle Road\KW27\[Open Defects into Rattle Test Daily KW27D5.xlsx]BY73X - Assembly (PM)'!$I:$I="Paint")+0))/'X:\BY7xx Shared Management Information\5. BY731 Line_Subs_Final  2018\01 Mike Gaffney\Quality\DPV Into Rattle Road\KW27\[Open Defects into Rattle Test Daily KW27D5.xlsx]BY73X - Assembly (PM)'!$C$4</v>
      </c>
      <c r="T30" s="7" t="str">
        <f t="shared" si="37"/>
        <v>=(SUMPRODUCT(('X:\BY7xx Shared Management Information\5. BY731 Line_Subs_Final  2018\01 Mike Gaffney\Quality\DPV Into Rattle Road\KW27\[Open Defects into Rattle Test Daily KW27D5.xlsx]BY73X - Assembly (PM)'!$I:$I="Car Locked")+0))/'X:\BY7xx Shared Management Information\5. BY731 Line_Subs_Final  2018\01 Mike Gaffney\Quality\DPV Into Rattle Road\KW27\[Open Defects into Rattle Test Daily KW27D5.xlsx]BY73X - Assembly (PM)'!$C$4</v>
      </c>
      <c r="U30" s="8" t="e">
        <f t="shared" si="21"/>
        <v>#VALUE!</v>
      </c>
      <c r="V30" t="e">
        <f t="shared" si="22"/>
        <v>#DIV/0!</v>
      </c>
      <c r="W30" t="e">
        <f t="shared" si="23"/>
        <v>#DIV/0!</v>
      </c>
      <c r="X30" t="e">
        <f t="shared" si="24"/>
        <v>#DIV/0!</v>
      </c>
      <c r="Y30" t="e">
        <f t="shared" si="25"/>
        <v>#VALUE!</v>
      </c>
      <c r="Z30" s="3">
        <v>1.57</v>
      </c>
    </row>
    <row r="31" spans="1:26" x14ac:dyDescent="0.2">
      <c r="A31" t="s">
        <v>32</v>
      </c>
      <c r="B31" s="6" t="str">
        <f t="shared" si="38"/>
        <v>='X:\BY7xx Shared Management Information\5. BY731 Line_Subs_Final  2018\01 Mike Gaffney\Quality\DPV Into Rattle Road\KW28\[Open Defects into Rattle Test Daily KW28D1.xlsx]BY73X - Assembly (PM)'!$C$6</v>
      </c>
      <c r="C31" s="7" t="str">
        <f t="shared" si="28"/>
        <v>=(SUMPRODUCT(('X:\BY7xx Shared Management Information\5. BY731 Line_Subs_Final  2018\01 Mike Gaffney\Quality\DPV Into Rattle Road\KW28\[Open Defects into Rattle Test Daily KW28D1.xlsx]BY73X - Assembly (PM)'!$I:$I="Paintshop")+0)+SUMPRODUCT(('X:\BY7xx Shared Management Information\5. BY731 Line_Subs_Final  2018\01 Mike Gaffney\Quality\DPV Into Rattle Road\KW28\[Open Defects into Rattle Test Daily KW28D1.xlsx]BY73X - Assembly (PM)'!$I:$I="Paint")+0))/'X:\BY7xx Shared Management Information\5. BY731 Line_Subs_Final  2018\01 Mike Gaffney\Quality\DPV Into Rattle Road\KW28\[Open Defects into Rattle Test Daily KW28D1.xlsx]BY73X - Assembly (PM)'!$C$4</v>
      </c>
      <c r="D31" s="7" t="str">
        <f t="shared" si="29"/>
        <v>=(SUMPRODUCT(('X:\BY7xx Shared Management Information\5. BY731 Line_Subs_Final  2018\01 Mike Gaffney\Quality\DPV Into Rattle Road\KW28\[Open Defects into Rattle Test Daily KW28D1.xlsx]BY73X - Assembly (PM)'!$I:$I="Car Locked")+0))/'X:\BY7xx Shared Management Information\5. BY731 Line_Subs_Final  2018\01 Mike Gaffney\Quality\DPV Into Rattle Road\KW28\[Open Defects into Rattle Test Daily KW28D1.xlsx]BY73X - Assembly (PM)'!$C$4</v>
      </c>
      <c r="E31" s="8" t="e">
        <f t="shared" si="17"/>
        <v>#VALUE!</v>
      </c>
      <c r="F31" s="6" t="str">
        <f t="shared" si="39"/>
        <v>='X:\BY7xx Shared Management Information\5. BY731 Line_Subs_Final  2018\01 Mike Gaffney\Quality\DPV Into Rattle Road\KW28\[Open Defects into Rattle Test Daily KW28D2.xlsx]BY73X - Assembly (PM)'!$C$6</v>
      </c>
      <c r="G31" s="7" t="str">
        <f t="shared" si="30"/>
        <v>=(SUMPRODUCT(('X:\BY7xx Shared Management Information\5. BY731 Line_Subs_Final  2018\01 Mike Gaffney\Quality\DPV Into Rattle Road\KW28\[Open Defects into Rattle Test Daily KW28D2.xlsx]BY73X - Assembly (PM)'!$I:$I="Paintshop")+0)+SUMPRODUCT(('X:\BY7xx Shared Management Information\5. BY731 Line_Subs_Final  2018\01 Mike Gaffney\Quality\DPV Into Rattle Road\KW28\[Open Defects into Rattle Test Daily KW28D2.xlsx]BY73X - Assembly (PM)'!$I:$I="Paint")+0))/'X:\BY7xx Shared Management Information\5. BY731 Line_Subs_Final  2018\01 Mike Gaffney\Quality\DPV Into Rattle Road\KW28\[Open Defects into Rattle Test Daily KW28D2.xlsx]BY73X - Assembly (PM)'!$C$4</v>
      </c>
      <c r="H31" s="7" t="str">
        <f t="shared" si="31"/>
        <v>=(SUMPRODUCT(('X:\BY7xx Shared Management Information\5. BY731 Line_Subs_Final  2018\01 Mike Gaffney\Quality\DPV Into Rattle Road\KW28\[Open Defects into Rattle Test Daily KW28D2.xlsx]BY73X - Assembly (PM)'!$I:$I="Car Locked")+0))/'X:\BY7xx Shared Management Information\5. BY731 Line_Subs_Final  2018\01 Mike Gaffney\Quality\DPV Into Rattle Road\KW28\[Open Defects into Rattle Test Daily KW28D2.xlsx]BY73X - Assembly (PM)'!$C$4</v>
      </c>
      <c r="I31" s="8" t="e">
        <f t="shared" si="18"/>
        <v>#VALUE!</v>
      </c>
      <c r="J31" s="6" t="str">
        <f t="shared" si="40"/>
        <v>='X:\BY7xx Shared Management Information\5. BY731 Line_Subs_Final  2018\01 Mike Gaffney\Quality\DPV Into Rattle Road\KW28\[Open Defects into Rattle Test Daily KW28D3.xlsx]BY73X - Assembly (PM)'!$C$6</v>
      </c>
      <c r="K31" s="7" t="str">
        <f t="shared" si="32"/>
        <v>=(SUMPRODUCT(('X:\BY7xx Shared Management Information\5. BY731 Line_Subs_Final  2018\01 Mike Gaffney\Quality\DPV Into Rattle Road\KW28\[Open Defects into Rattle Test Daily KW28D3.xlsx]BY73X - Assembly (PM)'!$I:$I="Paintshop")+0)+SUMPRODUCT(('X:\BY7xx Shared Management Information\5. BY731 Line_Subs_Final  2018\01 Mike Gaffney\Quality\DPV Into Rattle Road\KW28\[Open Defects into Rattle Test Daily KW28D3.xlsx]BY73X - Assembly (PM)'!$I:$I="Paint")+0))/'X:\BY7xx Shared Management Information\5. BY731 Line_Subs_Final  2018\01 Mike Gaffney\Quality\DPV Into Rattle Road\KW28\[Open Defects into Rattle Test Daily KW28D3.xlsx]BY73X - Assembly (PM)'!$C$4</v>
      </c>
      <c r="L31" s="7" t="str">
        <f t="shared" si="33"/>
        <v>=(SUMPRODUCT(('X:\BY7xx Shared Management Information\5. BY731 Line_Subs_Final  2018\01 Mike Gaffney\Quality\DPV Into Rattle Road\KW28\[Open Defects into Rattle Test Daily KW28D3.xlsx]BY73X - Assembly (PM)'!$I:$I="Car Locked")+0))/'X:\BY7xx Shared Management Information\5. BY731 Line_Subs_Final  2018\01 Mike Gaffney\Quality\DPV Into Rattle Road\KW28\[Open Defects into Rattle Test Daily KW28D3.xlsx]BY73X - Assembly (PM)'!$C$4</v>
      </c>
      <c r="M31" s="8" t="e">
        <f t="shared" si="19"/>
        <v>#VALUE!</v>
      </c>
      <c r="N31" s="6" t="str">
        <f t="shared" si="41"/>
        <v>='X:\BY7xx Shared Management Information\5. BY731 Line_Subs_Final  2018\01 Mike Gaffney\Quality\DPV Into Rattle Road\KW28\[Open Defects into Rattle Test Daily KW28D4.xlsx]BY73X - Assembly (PM)'!$C$6</v>
      </c>
      <c r="O31" s="7" t="str">
        <f t="shared" si="34"/>
        <v>=(SUMPRODUCT(('X:\BY7xx Shared Management Information\5. BY731 Line_Subs_Final  2018\01 Mike Gaffney\Quality\DPV Into Rattle Road\KW28\[Open Defects into Rattle Test Daily KW28D4.xlsx]BY73X - Assembly (PM)'!$I:$I="Paintshop")+0)+SUMPRODUCT(('X:\BY7xx Shared Management Information\5. BY731 Line_Subs_Final  2018\01 Mike Gaffney\Quality\DPV Into Rattle Road\KW28\[Open Defects into Rattle Test Daily KW28D4.xlsx]BY73X - Assembly (PM)'!$I:$I="Paint")+0))/'X:\BY7xx Shared Management Information\5. BY731 Line_Subs_Final  2018\01 Mike Gaffney\Quality\DPV Into Rattle Road\KW28\[Open Defects into Rattle Test Daily KW28D4.xlsx]BY73X - Assembly (PM)'!$C$4</v>
      </c>
      <c r="P31" s="7" t="str">
        <f t="shared" si="35"/>
        <v>=(SUMPRODUCT(('X:\BY7xx Shared Management Information\5. BY731 Line_Subs_Final  2018\01 Mike Gaffney\Quality\DPV Into Rattle Road\KW28\[Open Defects into Rattle Test Daily KW28D4.xlsx]BY73X - Assembly (PM)'!$I:$I="Car Locked")+0))/'X:\BY7xx Shared Management Information\5. BY731 Line_Subs_Final  2018\01 Mike Gaffney\Quality\DPV Into Rattle Road\KW28\[Open Defects into Rattle Test Daily KW28D4.xlsx]BY73X - Assembly (PM)'!$C$4</v>
      </c>
      <c r="Q31" s="8" t="e">
        <f t="shared" si="20"/>
        <v>#VALUE!</v>
      </c>
      <c r="R31" s="6" t="str">
        <f t="shared" si="41"/>
        <v>='X:\BY7xx Shared Management Information\5. BY731 Line_Subs_Final  2018\01 Mike Gaffney\Quality\DPV Into Rattle Road\KW28\[Open Defects into Rattle Test Daily KW28D5.xlsx]BY73X - Assembly (PM)'!$C$6</v>
      </c>
      <c r="S31" s="7" t="str">
        <f t="shared" si="36"/>
        <v>=(SUMPRODUCT(('X:\BY7xx Shared Management Information\5. BY731 Line_Subs_Final  2018\01 Mike Gaffney\Quality\DPV Into Rattle Road\KW28\[Open Defects into Rattle Test Daily KW28D5.xlsx]BY73X - Assembly (PM)'!$I:$I="Paintshop")+0)+SUMPRODUCT(('X:\BY7xx Shared Management Information\5. BY731 Line_Subs_Final  2018\01 Mike Gaffney\Quality\DPV Into Rattle Road\KW28\[Open Defects into Rattle Test Daily KW28D5.xlsx]BY73X - Assembly (PM)'!$I:$I="Paint")+0))/'X:\BY7xx Shared Management Information\5. BY731 Line_Subs_Final  2018\01 Mike Gaffney\Quality\DPV Into Rattle Road\KW28\[Open Defects into Rattle Test Daily KW28D5.xlsx]BY73X - Assembly (PM)'!$C$4</v>
      </c>
      <c r="T31" s="7" t="str">
        <f t="shared" si="37"/>
        <v>=(SUMPRODUCT(('X:\BY7xx Shared Management Information\5. BY731 Line_Subs_Final  2018\01 Mike Gaffney\Quality\DPV Into Rattle Road\KW28\[Open Defects into Rattle Test Daily KW28D5.xlsx]BY73X - Assembly (PM)'!$I:$I="Car Locked")+0))/'X:\BY7xx Shared Management Information\5. BY731 Line_Subs_Final  2018\01 Mike Gaffney\Quality\DPV Into Rattle Road\KW28\[Open Defects into Rattle Test Daily KW28D5.xlsx]BY73X - Assembly (PM)'!$C$4</v>
      </c>
      <c r="U31" s="8" t="e">
        <f t="shared" si="21"/>
        <v>#VALUE!</v>
      </c>
      <c r="V31" t="e">
        <f t="shared" si="22"/>
        <v>#DIV/0!</v>
      </c>
      <c r="W31" t="e">
        <f t="shared" si="23"/>
        <v>#DIV/0!</v>
      </c>
      <c r="X31" t="e">
        <f t="shared" si="24"/>
        <v>#DIV/0!</v>
      </c>
      <c r="Y31" t="e">
        <f t="shared" si="25"/>
        <v>#VALUE!</v>
      </c>
      <c r="Z31" s="3">
        <v>1.57</v>
      </c>
    </row>
    <row r="32" spans="1:26" x14ac:dyDescent="0.2">
      <c r="A32" t="s">
        <v>33</v>
      </c>
      <c r="B32" s="6" t="str">
        <f t="shared" si="38"/>
        <v>='X:\BY7xx Shared Management Information\5. BY731 Line_Subs_Final  2018\01 Mike Gaffney\Quality\DPV Into Rattle Road\KW29\[Open Defects into Rattle Test Daily KW29D1.xlsx]BY73X - Assembly (PM)'!$C$6</v>
      </c>
      <c r="C32" s="7" t="str">
        <f t="shared" si="28"/>
        <v>=(SUMPRODUCT(('X:\BY7xx Shared Management Information\5. BY731 Line_Subs_Final  2018\01 Mike Gaffney\Quality\DPV Into Rattle Road\KW29\[Open Defects into Rattle Test Daily KW29D1.xlsx]BY73X - Assembly (PM)'!$I:$I="Paintshop")+0)+SUMPRODUCT(('X:\BY7xx Shared Management Information\5. BY731 Line_Subs_Final  2018\01 Mike Gaffney\Quality\DPV Into Rattle Road\KW29\[Open Defects into Rattle Test Daily KW29D1.xlsx]BY73X - Assembly (PM)'!$I:$I="Paint")+0))/'X:\BY7xx Shared Management Information\5. BY731 Line_Subs_Final  2018\01 Mike Gaffney\Quality\DPV Into Rattle Road\KW29\[Open Defects into Rattle Test Daily KW29D1.xlsx]BY73X - Assembly (PM)'!$C$4</v>
      </c>
      <c r="D32" s="7" t="str">
        <f t="shared" si="29"/>
        <v>=(SUMPRODUCT(('X:\BY7xx Shared Management Information\5. BY731 Line_Subs_Final  2018\01 Mike Gaffney\Quality\DPV Into Rattle Road\KW29\[Open Defects into Rattle Test Daily KW29D1.xlsx]BY73X - Assembly (PM)'!$I:$I="Car Locked")+0))/'X:\BY7xx Shared Management Information\5. BY731 Line_Subs_Final  2018\01 Mike Gaffney\Quality\DPV Into Rattle Road\KW29\[Open Defects into Rattle Test Daily KW29D1.xlsx]BY73X - Assembly (PM)'!$C$4</v>
      </c>
      <c r="E32" s="8" t="e">
        <f t="shared" si="17"/>
        <v>#VALUE!</v>
      </c>
      <c r="F32" s="6" t="str">
        <f t="shared" si="39"/>
        <v>='X:\BY7xx Shared Management Information\5. BY731 Line_Subs_Final  2018\01 Mike Gaffney\Quality\DPV Into Rattle Road\KW29\[Open Defects into Rattle Test Daily KW29D2.xlsx]BY73X - Assembly (PM)'!$C$6</v>
      </c>
      <c r="G32" s="7" t="str">
        <f t="shared" si="30"/>
        <v>=(SUMPRODUCT(('X:\BY7xx Shared Management Information\5. BY731 Line_Subs_Final  2018\01 Mike Gaffney\Quality\DPV Into Rattle Road\KW29\[Open Defects into Rattle Test Daily KW29D2.xlsx]BY73X - Assembly (PM)'!$I:$I="Paintshop")+0)+SUMPRODUCT(('X:\BY7xx Shared Management Information\5. BY731 Line_Subs_Final  2018\01 Mike Gaffney\Quality\DPV Into Rattle Road\KW29\[Open Defects into Rattle Test Daily KW29D2.xlsx]BY73X - Assembly (PM)'!$I:$I="Paint")+0))/'X:\BY7xx Shared Management Information\5. BY731 Line_Subs_Final  2018\01 Mike Gaffney\Quality\DPV Into Rattle Road\KW29\[Open Defects into Rattle Test Daily KW29D2.xlsx]BY73X - Assembly (PM)'!$C$4</v>
      </c>
      <c r="H32" s="7" t="str">
        <f t="shared" si="31"/>
        <v>=(SUMPRODUCT(('X:\BY7xx Shared Management Information\5. BY731 Line_Subs_Final  2018\01 Mike Gaffney\Quality\DPV Into Rattle Road\KW29\[Open Defects into Rattle Test Daily KW29D2.xlsx]BY73X - Assembly (PM)'!$I:$I="Car Locked")+0))/'X:\BY7xx Shared Management Information\5. BY731 Line_Subs_Final  2018\01 Mike Gaffney\Quality\DPV Into Rattle Road\KW29\[Open Defects into Rattle Test Daily KW29D2.xlsx]BY73X - Assembly (PM)'!$C$4</v>
      </c>
      <c r="I32" s="8" t="e">
        <f t="shared" si="18"/>
        <v>#VALUE!</v>
      </c>
      <c r="J32" s="6" t="str">
        <f t="shared" si="40"/>
        <v>='X:\BY7xx Shared Management Information\5. BY731 Line_Subs_Final  2018\01 Mike Gaffney\Quality\DPV Into Rattle Road\KW29\[Open Defects into Rattle Test Daily KW29D3.xlsx]BY73X - Assembly (PM)'!$C$6</v>
      </c>
      <c r="K32" s="7" t="str">
        <f t="shared" si="32"/>
        <v>=(SUMPRODUCT(('X:\BY7xx Shared Management Information\5. BY731 Line_Subs_Final  2018\01 Mike Gaffney\Quality\DPV Into Rattle Road\KW29\[Open Defects into Rattle Test Daily KW29D3.xlsx]BY73X - Assembly (PM)'!$I:$I="Paintshop")+0)+SUMPRODUCT(('X:\BY7xx Shared Management Information\5. BY731 Line_Subs_Final  2018\01 Mike Gaffney\Quality\DPV Into Rattle Road\KW29\[Open Defects into Rattle Test Daily KW29D3.xlsx]BY73X - Assembly (PM)'!$I:$I="Paint")+0))/'X:\BY7xx Shared Management Information\5. BY731 Line_Subs_Final  2018\01 Mike Gaffney\Quality\DPV Into Rattle Road\KW29\[Open Defects into Rattle Test Daily KW29D3.xlsx]BY73X - Assembly (PM)'!$C$4</v>
      </c>
      <c r="L32" s="7" t="str">
        <f t="shared" si="33"/>
        <v>=(SUMPRODUCT(('X:\BY7xx Shared Management Information\5. BY731 Line_Subs_Final  2018\01 Mike Gaffney\Quality\DPV Into Rattle Road\KW29\[Open Defects into Rattle Test Daily KW29D3.xlsx]BY73X - Assembly (PM)'!$I:$I="Car Locked")+0))/'X:\BY7xx Shared Management Information\5. BY731 Line_Subs_Final  2018\01 Mike Gaffney\Quality\DPV Into Rattle Road\KW29\[Open Defects into Rattle Test Daily KW29D3.xlsx]BY73X - Assembly (PM)'!$C$4</v>
      </c>
      <c r="M32" s="8" t="e">
        <f t="shared" si="19"/>
        <v>#VALUE!</v>
      </c>
      <c r="N32" s="6" t="str">
        <f t="shared" si="41"/>
        <v>='X:\BY7xx Shared Management Information\5. BY731 Line_Subs_Final  2018\01 Mike Gaffney\Quality\DPV Into Rattle Road\KW29\[Open Defects into Rattle Test Daily KW29D4.xlsx]BY73X - Assembly (PM)'!$C$6</v>
      </c>
      <c r="O32" s="7" t="str">
        <f t="shared" si="34"/>
        <v>=(SUMPRODUCT(('X:\BY7xx Shared Management Information\5. BY731 Line_Subs_Final  2018\01 Mike Gaffney\Quality\DPV Into Rattle Road\KW29\[Open Defects into Rattle Test Daily KW29D4.xlsx]BY73X - Assembly (PM)'!$I:$I="Paintshop")+0)+SUMPRODUCT(('X:\BY7xx Shared Management Information\5. BY731 Line_Subs_Final  2018\01 Mike Gaffney\Quality\DPV Into Rattle Road\KW29\[Open Defects into Rattle Test Daily KW29D4.xlsx]BY73X - Assembly (PM)'!$I:$I="Paint")+0))/'X:\BY7xx Shared Management Information\5. BY731 Line_Subs_Final  2018\01 Mike Gaffney\Quality\DPV Into Rattle Road\KW29\[Open Defects into Rattle Test Daily KW29D4.xlsx]BY73X - Assembly (PM)'!$C$4</v>
      </c>
      <c r="P32" s="7" t="str">
        <f t="shared" si="35"/>
        <v>=(SUMPRODUCT(('X:\BY7xx Shared Management Information\5. BY731 Line_Subs_Final  2018\01 Mike Gaffney\Quality\DPV Into Rattle Road\KW29\[Open Defects into Rattle Test Daily KW29D4.xlsx]BY73X - Assembly (PM)'!$I:$I="Car Locked")+0))/'X:\BY7xx Shared Management Information\5. BY731 Line_Subs_Final  2018\01 Mike Gaffney\Quality\DPV Into Rattle Road\KW29\[Open Defects into Rattle Test Daily KW29D4.xlsx]BY73X - Assembly (PM)'!$C$4</v>
      </c>
      <c r="Q32" s="8" t="e">
        <f t="shared" si="20"/>
        <v>#VALUE!</v>
      </c>
      <c r="R32" s="6" t="str">
        <f t="shared" si="41"/>
        <v>='X:\BY7xx Shared Management Information\5. BY731 Line_Subs_Final  2018\01 Mike Gaffney\Quality\DPV Into Rattle Road\KW29\[Open Defects into Rattle Test Daily KW29D5.xlsx]BY73X - Assembly (PM)'!$C$6</v>
      </c>
      <c r="S32" s="7" t="str">
        <f t="shared" si="36"/>
        <v>=(SUMPRODUCT(('X:\BY7xx Shared Management Information\5. BY731 Line_Subs_Final  2018\01 Mike Gaffney\Quality\DPV Into Rattle Road\KW29\[Open Defects into Rattle Test Daily KW29D5.xlsx]BY73X - Assembly (PM)'!$I:$I="Paintshop")+0)+SUMPRODUCT(('X:\BY7xx Shared Management Information\5. BY731 Line_Subs_Final  2018\01 Mike Gaffney\Quality\DPV Into Rattle Road\KW29\[Open Defects into Rattle Test Daily KW29D5.xlsx]BY73X - Assembly (PM)'!$I:$I="Paint")+0))/'X:\BY7xx Shared Management Information\5. BY731 Line_Subs_Final  2018\01 Mike Gaffney\Quality\DPV Into Rattle Road\KW29\[Open Defects into Rattle Test Daily KW29D5.xlsx]BY73X - Assembly (PM)'!$C$4</v>
      </c>
      <c r="T32" s="7" t="str">
        <f t="shared" si="37"/>
        <v>=(SUMPRODUCT(('X:\BY7xx Shared Management Information\5. BY731 Line_Subs_Final  2018\01 Mike Gaffney\Quality\DPV Into Rattle Road\KW29\[Open Defects into Rattle Test Daily KW29D5.xlsx]BY73X - Assembly (PM)'!$I:$I="Car Locked")+0))/'X:\BY7xx Shared Management Information\5. BY731 Line_Subs_Final  2018\01 Mike Gaffney\Quality\DPV Into Rattle Road\KW29\[Open Defects into Rattle Test Daily KW29D5.xlsx]BY73X - Assembly (PM)'!$C$4</v>
      </c>
      <c r="U32" s="8" t="e">
        <f t="shared" si="21"/>
        <v>#VALUE!</v>
      </c>
      <c r="V32" t="e">
        <f t="shared" si="22"/>
        <v>#DIV/0!</v>
      </c>
      <c r="W32" t="e">
        <f t="shared" si="23"/>
        <v>#DIV/0!</v>
      </c>
      <c r="X32" t="e">
        <f t="shared" si="24"/>
        <v>#DIV/0!</v>
      </c>
      <c r="Y32" t="e">
        <f t="shared" si="25"/>
        <v>#VALUE!</v>
      </c>
      <c r="Z32" s="3">
        <v>1.57</v>
      </c>
    </row>
    <row r="33" spans="1:26" x14ac:dyDescent="0.2">
      <c r="A33" t="s">
        <v>34</v>
      </c>
      <c r="B33" s="6" t="str">
        <f t="shared" si="38"/>
        <v>='X:\BY7xx Shared Management Information\5. BY731 Line_Subs_Final  2018\01 Mike Gaffney\Quality\DPV Into Rattle Road\KW30\[Open Defects into Rattle Test Daily KW30D1.xlsx]BY73X - Assembly (PM)'!$C$6</v>
      </c>
      <c r="C33" s="7" t="str">
        <f t="shared" si="28"/>
        <v>=(SUMPRODUCT(('X:\BY7xx Shared Management Information\5. BY731 Line_Subs_Final  2018\01 Mike Gaffney\Quality\DPV Into Rattle Road\KW30\[Open Defects into Rattle Test Daily KW30D1.xlsx]BY73X - Assembly (PM)'!$I:$I="Paintshop")+0)+SUMPRODUCT(('X:\BY7xx Shared Management Information\5. BY731 Line_Subs_Final  2018\01 Mike Gaffney\Quality\DPV Into Rattle Road\KW30\[Open Defects into Rattle Test Daily KW30D1.xlsx]BY73X - Assembly (PM)'!$I:$I="Paint")+0))/'X:\BY7xx Shared Management Information\5. BY731 Line_Subs_Final  2018\01 Mike Gaffney\Quality\DPV Into Rattle Road\KW30\[Open Defects into Rattle Test Daily KW30D1.xlsx]BY73X - Assembly (PM)'!$C$4</v>
      </c>
      <c r="D33" s="7" t="str">
        <f t="shared" si="29"/>
        <v>=(SUMPRODUCT(('X:\BY7xx Shared Management Information\5. BY731 Line_Subs_Final  2018\01 Mike Gaffney\Quality\DPV Into Rattle Road\KW30\[Open Defects into Rattle Test Daily KW30D1.xlsx]BY73X - Assembly (PM)'!$I:$I="Car Locked")+0))/'X:\BY7xx Shared Management Information\5. BY731 Line_Subs_Final  2018\01 Mike Gaffney\Quality\DPV Into Rattle Road\KW30\[Open Defects into Rattle Test Daily KW30D1.xlsx]BY73X - Assembly (PM)'!$C$4</v>
      </c>
      <c r="E33" s="8" t="e">
        <f t="shared" si="17"/>
        <v>#VALUE!</v>
      </c>
      <c r="F33" s="6" t="str">
        <f t="shared" si="39"/>
        <v>='X:\BY7xx Shared Management Information\5. BY731 Line_Subs_Final  2018\01 Mike Gaffney\Quality\DPV Into Rattle Road\KW30\[Open Defects into Rattle Test Daily KW30D2.xlsx]BY73X - Assembly (PM)'!$C$6</v>
      </c>
      <c r="G33" s="7" t="str">
        <f t="shared" si="30"/>
        <v>=(SUMPRODUCT(('X:\BY7xx Shared Management Information\5. BY731 Line_Subs_Final  2018\01 Mike Gaffney\Quality\DPV Into Rattle Road\KW30\[Open Defects into Rattle Test Daily KW30D2.xlsx]BY73X - Assembly (PM)'!$I:$I="Paintshop")+0)+SUMPRODUCT(('X:\BY7xx Shared Management Information\5. BY731 Line_Subs_Final  2018\01 Mike Gaffney\Quality\DPV Into Rattle Road\KW30\[Open Defects into Rattle Test Daily KW30D2.xlsx]BY73X - Assembly (PM)'!$I:$I="Paint")+0))/'X:\BY7xx Shared Management Information\5. BY731 Line_Subs_Final  2018\01 Mike Gaffney\Quality\DPV Into Rattle Road\KW30\[Open Defects into Rattle Test Daily KW30D2.xlsx]BY73X - Assembly (PM)'!$C$4</v>
      </c>
      <c r="H33" s="7" t="str">
        <f t="shared" si="31"/>
        <v>=(SUMPRODUCT(('X:\BY7xx Shared Management Information\5. BY731 Line_Subs_Final  2018\01 Mike Gaffney\Quality\DPV Into Rattle Road\KW30\[Open Defects into Rattle Test Daily KW30D2.xlsx]BY73X - Assembly (PM)'!$I:$I="Car Locked")+0))/'X:\BY7xx Shared Management Information\5. BY731 Line_Subs_Final  2018\01 Mike Gaffney\Quality\DPV Into Rattle Road\KW30\[Open Defects into Rattle Test Daily KW30D2.xlsx]BY73X - Assembly (PM)'!$C$4</v>
      </c>
      <c r="I33" s="8" t="e">
        <f t="shared" si="18"/>
        <v>#VALUE!</v>
      </c>
      <c r="J33" s="6" t="str">
        <f t="shared" si="40"/>
        <v>='X:\BY7xx Shared Management Information\5. BY731 Line_Subs_Final  2018\01 Mike Gaffney\Quality\DPV Into Rattle Road\KW30\[Open Defects into Rattle Test Daily KW30D3.xlsx]BY73X - Assembly (PM)'!$C$6</v>
      </c>
      <c r="K33" s="7" t="str">
        <f t="shared" si="32"/>
        <v>=(SUMPRODUCT(('X:\BY7xx Shared Management Information\5. BY731 Line_Subs_Final  2018\01 Mike Gaffney\Quality\DPV Into Rattle Road\KW30\[Open Defects into Rattle Test Daily KW30D3.xlsx]BY73X - Assembly (PM)'!$I:$I="Paintshop")+0)+SUMPRODUCT(('X:\BY7xx Shared Management Information\5. BY731 Line_Subs_Final  2018\01 Mike Gaffney\Quality\DPV Into Rattle Road\KW30\[Open Defects into Rattle Test Daily KW30D3.xlsx]BY73X - Assembly (PM)'!$I:$I="Paint")+0))/'X:\BY7xx Shared Management Information\5. BY731 Line_Subs_Final  2018\01 Mike Gaffney\Quality\DPV Into Rattle Road\KW30\[Open Defects into Rattle Test Daily KW30D3.xlsx]BY73X - Assembly (PM)'!$C$4</v>
      </c>
      <c r="L33" s="7" t="str">
        <f t="shared" si="33"/>
        <v>=(SUMPRODUCT(('X:\BY7xx Shared Management Information\5. BY731 Line_Subs_Final  2018\01 Mike Gaffney\Quality\DPV Into Rattle Road\KW30\[Open Defects into Rattle Test Daily KW30D3.xlsx]BY73X - Assembly (PM)'!$I:$I="Car Locked")+0))/'X:\BY7xx Shared Management Information\5. BY731 Line_Subs_Final  2018\01 Mike Gaffney\Quality\DPV Into Rattle Road\KW30\[Open Defects into Rattle Test Daily KW30D3.xlsx]BY73X - Assembly (PM)'!$C$4</v>
      </c>
      <c r="M33" s="8" t="e">
        <f t="shared" si="19"/>
        <v>#VALUE!</v>
      </c>
      <c r="N33" s="6" t="str">
        <f t="shared" si="41"/>
        <v>='X:\BY7xx Shared Management Information\5. BY731 Line_Subs_Final  2018\01 Mike Gaffney\Quality\DPV Into Rattle Road\KW30\[Open Defects into Rattle Test Daily KW30D4.xlsx]BY73X - Assembly (PM)'!$C$6</v>
      </c>
      <c r="O33" s="7" t="str">
        <f t="shared" si="34"/>
        <v>=(SUMPRODUCT(('X:\BY7xx Shared Management Information\5. BY731 Line_Subs_Final  2018\01 Mike Gaffney\Quality\DPV Into Rattle Road\KW30\[Open Defects into Rattle Test Daily KW30D4.xlsx]BY73X - Assembly (PM)'!$I:$I="Paintshop")+0)+SUMPRODUCT(('X:\BY7xx Shared Management Information\5. BY731 Line_Subs_Final  2018\01 Mike Gaffney\Quality\DPV Into Rattle Road\KW30\[Open Defects into Rattle Test Daily KW30D4.xlsx]BY73X - Assembly (PM)'!$I:$I="Paint")+0))/'X:\BY7xx Shared Management Information\5. BY731 Line_Subs_Final  2018\01 Mike Gaffney\Quality\DPV Into Rattle Road\KW30\[Open Defects into Rattle Test Daily KW30D4.xlsx]BY73X - Assembly (PM)'!$C$4</v>
      </c>
      <c r="P33" s="7" t="str">
        <f t="shared" si="35"/>
        <v>=(SUMPRODUCT(('X:\BY7xx Shared Management Information\5. BY731 Line_Subs_Final  2018\01 Mike Gaffney\Quality\DPV Into Rattle Road\KW30\[Open Defects into Rattle Test Daily KW30D4.xlsx]BY73X - Assembly (PM)'!$I:$I="Car Locked")+0))/'X:\BY7xx Shared Management Information\5. BY731 Line_Subs_Final  2018\01 Mike Gaffney\Quality\DPV Into Rattle Road\KW30\[Open Defects into Rattle Test Daily KW30D4.xlsx]BY73X - Assembly (PM)'!$C$4</v>
      </c>
      <c r="Q33" s="8" t="e">
        <f t="shared" si="20"/>
        <v>#VALUE!</v>
      </c>
      <c r="R33" s="6" t="str">
        <f t="shared" si="41"/>
        <v>='X:\BY7xx Shared Management Information\5. BY731 Line_Subs_Final  2018\01 Mike Gaffney\Quality\DPV Into Rattle Road\KW30\[Open Defects into Rattle Test Daily KW30D5.xlsx]BY73X - Assembly (PM)'!$C$6</v>
      </c>
      <c r="S33" s="7" t="str">
        <f t="shared" si="36"/>
        <v>=(SUMPRODUCT(('X:\BY7xx Shared Management Information\5. BY731 Line_Subs_Final  2018\01 Mike Gaffney\Quality\DPV Into Rattle Road\KW30\[Open Defects into Rattle Test Daily KW30D5.xlsx]BY73X - Assembly (PM)'!$I:$I="Paintshop")+0)+SUMPRODUCT(('X:\BY7xx Shared Management Information\5. BY731 Line_Subs_Final  2018\01 Mike Gaffney\Quality\DPV Into Rattle Road\KW30\[Open Defects into Rattle Test Daily KW30D5.xlsx]BY73X - Assembly (PM)'!$I:$I="Paint")+0))/'X:\BY7xx Shared Management Information\5. BY731 Line_Subs_Final  2018\01 Mike Gaffney\Quality\DPV Into Rattle Road\KW30\[Open Defects into Rattle Test Daily KW30D5.xlsx]BY73X - Assembly (PM)'!$C$4</v>
      </c>
      <c r="T33" s="7" t="str">
        <f t="shared" si="37"/>
        <v>=(SUMPRODUCT(('X:\BY7xx Shared Management Information\5. BY731 Line_Subs_Final  2018\01 Mike Gaffney\Quality\DPV Into Rattle Road\KW30\[Open Defects into Rattle Test Daily KW30D5.xlsx]BY73X - Assembly (PM)'!$I:$I="Car Locked")+0))/'X:\BY7xx Shared Management Information\5. BY731 Line_Subs_Final  2018\01 Mike Gaffney\Quality\DPV Into Rattle Road\KW30\[Open Defects into Rattle Test Daily KW30D5.xlsx]BY73X - Assembly (PM)'!$C$4</v>
      </c>
      <c r="U33" s="8" t="e">
        <f t="shared" si="21"/>
        <v>#VALUE!</v>
      </c>
      <c r="V33" t="e">
        <f t="shared" si="22"/>
        <v>#DIV/0!</v>
      </c>
      <c r="W33" t="e">
        <f t="shared" si="23"/>
        <v>#DIV/0!</v>
      </c>
      <c r="X33" t="e">
        <f t="shared" si="24"/>
        <v>#DIV/0!</v>
      </c>
      <c r="Y33" t="e">
        <f t="shared" si="25"/>
        <v>#VALUE!</v>
      </c>
      <c r="Z33" s="3">
        <v>1.57</v>
      </c>
    </row>
    <row r="34" spans="1:26" x14ac:dyDescent="0.2">
      <c r="A34" t="s">
        <v>35</v>
      </c>
      <c r="B34" s="6" t="str">
        <f t="shared" si="38"/>
        <v>='X:\BY7xx Shared Management Information\5. BY731 Line_Subs_Final  2018\01 Mike Gaffney\Quality\DPV Into Rattle Road\KW31\[Open Defects into Rattle Test Daily KW31D1.xlsx]BY73X - Assembly (PM)'!$C$6</v>
      </c>
      <c r="C34" s="7" t="str">
        <f t="shared" si="28"/>
        <v>=(SUMPRODUCT(('X:\BY7xx Shared Management Information\5. BY731 Line_Subs_Final  2018\01 Mike Gaffney\Quality\DPV Into Rattle Road\KW31\[Open Defects into Rattle Test Daily KW31D1.xlsx]BY73X - Assembly (PM)'!$I:$I="Paintshop")+0)+SUMPRODUCT(('X:\BY7xx Shared Management Information\5. BY731 Line_Subs_Final  2018\01 Mike Gaffney\Quality\DPV Into Rattle Road\KW31\[Open Defects into Rattle Test Daily KW31D1.xlsx]BY73X - Assembly (PM)'!$I:$I="Paint")+0))/'X:\BY7xx Shared Management Information\5. BY731 Line_Subs_Final  2018\01 Mike Gaffney\Quality\DPV Into Rattle Road\KW31\[Open Defects into Rattle Test Daily KW31D1.xlsx]BY73X - Assembly (PM)'!$C$4</v>
      </c>
      <c r="D34" s="7" t="str">
        <f t="shared" si="29"/>
        <v>=(SUMPRODUCT(('X:\BY7xx Shared Management Information\5. BY731 Line_Subs_Final  2018\01 Mike Gaffney\Quality\DPV Into Rattle Road\KW31\[Open Defects into Rattle Test Daily KW31D1.xlsx]BY73X - Assembly (PM)'!$I:$I="Car Locked")+0))/'X:\BY7xx Shared Management Information\5. BY731 Line_Subs_Final  2018\01 Mike Gaffney\Quality\DPV Into Rattle Road\KW31\[Open Defects into Rattle Test Daily KW31D1.xlsx]BY73X - Assembly (PM)'!$C$4</v>
      </c>
      <c r="E34" s="8" t="e">
        <f t="shared" si="17"/>
        <v>#VALUE!</v>
      </c>
      <c r="F34" s="6" t="str">
        <f t="shared" si="39"/>
        <v>='X:\BY7xx Shared Management Information\5. BY731 Line_Subs_Final  2018\01 Mike Gaffney\Quality\DPV Into Rattle Road\KW31\[Open Defects into Rattle Test Daily KW31D2.xlsx]BY73X - Assembly (PM)'!$C$6</v>
      </c>
      <c r="G34" s="7" t="str">
        <f t="shared" si="30"/>
        <v>=(SUMPRODUCT(('X:\BY7xx Shared Management Information\5. BY731 Line_Subs_Final  2018\01 Mike Gaffney\Quality\DPV Into Rattle Road\KW31\[Open Defects into Rattle Test Daily KW31D2.xlsx]BY73X - Assembly (PM)'!$I:$I="Paintshop")+0)+SUMPRODUCT(('X:\BY7xx Shared Management Information\5. BY731 Line_Subs_Final  2018\01 Mike Gaffney\Quality\DPV Into Rattle Road\KW31\[Open Defects into Rattle Test Daily KW31D2.xlsx]BY73X - Assembly (PM)'!$I:$I="Paint")+0))/'X:\BY7xx Shared Management Information\5. BY731 Line_Subs_Final  2018\01 Mike Gaffney\Quality\DPV Into Rattle Road\KW31\[Open Defects into Rattle Test Daily KW31D2.xlsx]BY73X - Assembly (PM)'!$C$4</v>
      </c>
      <c r="H34" s="7" t="str">
        <f t="shared" si="31"/>
        <v>=(SUMPRODUCT(('X:\BY7xx Shared Management Information\5. BY731 Line_Subs_Final  2018\01 Mike Gaffney\Quality\DPV Into Rattle Road\KW31\[Open Defects into Rattle Test Daily KW31D2.xlsx]BY73X - Assembly (PM)'!$I:$I="Car Locked")+0))/'X:\BY7xx Shared Management Information\5. BY731 Line_Subs_Final  2018\01 Mike Gaffney\Quality\DPV Into Rattle Road\KW31\[Open Defects into Rattle Test Daily KW31D2.xlsx]BY73X - Assembly (PM)'!$C$4</v>
      </c>
      <c r="I34" s="8" t="e">
        <f t="shared" si="18"/>
        <v>#VALUE!</v>
      </c>
      <c r="J34" s="6" t="str">
        <f t="shared" si="40"/>
        <v>='X:\BY7xx Shared Management Information\5. BY731 Line_Subs_Final  2018\01 Mike Gaffney\Quality\DPV Into Rattle Road\KW31\[Open Defects into Rattle Test Daily KW31D3.xlsx]BY73X - Assembly (PM)'!$C$6</v>
      </c>
      <c r="K34" s="7" t="str">
        <f t="shared" si="32"/>
        <v>=(SUMPRODUCT(('X:\BY7xx Shared Management Information\5. BY731 Line_Subs_Final  2018\01 Mike Gaffney\Quality\DPV Into Rattle Road\KW31\[Open Defects into Rattle Test Daily KW31D3.xlsx]BY73X - Assembly (PM)'!$I:$I="Paintshop")+0)+SUMPRODUCT(('X:\BY7xx Shared Management Information\5. BY731 Line_Subs_Final  2018\01 Mike Gaffney\Quality\DPV Into Rattle Road\KW31\[Open Defects into Rattle Test Daily KW31D3.xlsx]BY73X - Assembly (PM)'!$I:$I="Paint")+0))/'X:\BY7xx Shared Management Information\5. BY731 Line_Subs_Final  2018\01 Mike Gaffney\Quality\DPV Into Rattle Road\KW31\[Open Defects into Rattle Test Daily KW31D3.xlsx]BY73X - Assembly (PM)'!$C$4</v>
      </c>
      <c r="L34" s="7" t="str">
        <f t="shared" si="33"/>
        <v>=(SUMPRODUCT(('X:\BY7xx Shared Management Information\5. BY731 Line_Subs_Final  2018\01 Mike Gaffney\Quality\DPV Into Rattle Road\KW31\[Open Defects into Rattle Test Daily KW31D3.xlsx]BY73X - Assembly (PM)'!$I:$I="Car Locked")+0))/'X:\BY7xx Shared Management Information\5. BY731 Line_Subs_Final  2018\01 Mike Gaffney\Quality\DPV Into Rattle Road\KW31\[Open Defects into Rattle Test Daily KW31D3.xlsx]BY73X - Assembly (PM)'!$C$4</v>
      </c>
      <c r="M34" s="8" t="e">
        <f t="shared" si="19"/>
        <v>#VALUE!</v>
      </c>
      <c r="N34" s="6" t="str">
        <f t="shared" si="41"/>
        <v>='X:\BY7xx Shared Management Information\5. BY731 Line_Subs_Final  2018\01 Mike Gaffney\Quality\DPV Into Rattle Road\KW31\[Open Defects into Rattle Test Daily KW31D4.xlsx]BY73X - Assembly (PM)'!$C$6</v>
      </c>
      <c r="O34" s="7" t="str">
        <f t="shared" si="34"/>
        <v>=(SUMPRODUCT(('X:\BY7xx Shared Management Information\5. BY731 Line_Subs_Final  2018\01 Mike Gaffney\Quality\DPV Into Rattle Road\KW31\[Open Defects into Rattle Test Daily KW31D4.xlsx]BY73X - Assembly (PM)'!$I:$I="Paintshop")+0)+SUMPRODUCT(('X:\BY7xx Shared Management Information\5. BY731 Line_Subs_Final  2018\01 Mike Gaffney\Quality\DPV Into Rattle Road\KW31\[Open Defects into Rattle Test Daily KW31D4.xlsx]BY73X - Assembly (PM)'!$I:$I="Paint")+0))/'X:\BY7xx Shared Management Information\5. BY731 Line_Subs_Final  2018\01 Mike Gaffney\Quality\DPV Into Rattle Road\KW31\[Open Defects into Rattle Test Daily KW31D4.xlsx]BY73X - Assembly (PM)'!$C$4</v>
      </c>
      <c r="P34" s="7" t="str">
        <f t="shared" si="35"/>
        <v>=(SUMPRODUCT(('X:\BY7xx Shared Management Information\5. BY731 Line_Subs_Final  2018\01 Mike Gaffney\Quality\DPV Into Rattle Road\KW31\[Open Defects into Rattle Test Daily KW31D4.xlsx]BY73X - Assembly (PM)'!$I:$I="Car Locked")+0))/'X:\BY7xx Shared Management Information\5. BY731 Line_Subs_Final  2018\01 Mike Gaffney\Quality\DPV Into Rattle Road\KW31\[Open Defects into Rattle Test Daily KW31D4.xlsx]BY73X - Assembly (PM)'!$C$4</v>
      </c>
      <c r="Q34" s="8" t="e">
        <f t="shared" si="20"/>
        <v>#VALUE!</v>
      </c>
      <c r="R34" s="6" t="str">
        <f t="shared" si="41"/>
        <v>='X:\BY7xx Shared Management Information\5. BY731 Line_Subs_Final  2018\01 Mike Gaffney\Quality\DPV Into Rattle Road\KW31\[Open Defects into Rattle Test Daily KW31D5.xlsx]BY73X - Assembly (PM)'!$C$6</v>
      </c>
      <c r="S34" s="7" t="str">
        <f t="shared" si="36"/>
        <v>=(SUMPRODUCT(('X:\BY7xx Shared Management Information\5. BY731 Line_Subs_Final  2018\01 Mike Gaffney\Quality\DPV Into Rattle Road\KW31\[Open Defects into Rattle Test Daily KW31D5.xlsx]BY73X - Assembly (PM)'!$I:$I="Paintshop")+0)+SUMPRODUCT(('X:\BY7xx Shared Management Information\5. BY731 Line_Subs_Final  2018\01 Mike Gaffney\Quality\DPV Into Rattle Road\KW31\[Open Defects into Rattle Test Daily KW31D5.xlsx]BY73X - Assembly (PM)'!$I:$I="Paint")+0))/'X:\BY7xx Shared Management Information\5. BY731 Line_Subs_Final  2018\01 Mike Gaffney\Quality\DPV Into Rattle Road\KW31\[Open Defects into Rattle Test Daily KW31D5.xlsx]BY73X - Assembly (PM)'!$C$4</v>
      </c>
      <c r="T34" s="7" t="str">
        <f t="shared" si="37"/>
        <v>=(SUMPRODUCT(('X:\BY7xx Shared Management Information\5. BY731 Line_Subs_Final  2018\01 Mike Gaffney\Quality\DPV Into Rattle Road\KW31\[Open Defects into Rattle Test Daily KW31D5.xlsx]BY73X - Assembly (PM)'!$I:$I="Car Locked")+0))/'X:\BY7xx Shared Management Information\5. BY731 Line_Subs_Final  2018\01 Mike Gaffney\Quality\DPV Into Rattle Road\KW31\[Open Defects into Rattle Test Daily KW31D5.xlsx]BY73X - Assembly (PM)'!$C$4</v>
      </c>
      <c r="U34" s="8" t="e">
        <f t="shared" si="21"/>
        <v>#VALUE!</v>
      </c>
      <c r="V34" t="e">
        <f t="shared" si="22"/>
        <v>#DIV/0!</v>
      </c>
      <c r="W34" t="e">
        <f t="shared" si="23"/>
        <v>#DIV/0!</v>
      </c>
      <c r="X34" t="e">
        <f t="shared" si="24"/>
        <v>#DIV/0!</v>
      </c>
      <c r="Y34" t="e">
        <f t="shared" si="25"/>
        <v>#VALUE!</v>
      </c>
      <c r="Z34" s="3">
        <v>1.57</v>
      </c>
    </row>
    <row r="35" spans="1:26" x14ac:dyDescent="0.2">
      <c r="A35" t="s">
        <v>36</v>
      </c>
      <c r="B35" s="6" t="str">
        <f t="shared" si="38"/>
        <v>='X:\BY7xx Shared Management Information\5. BY731 Line_Subs_Final  2018\01 Mike Gaffney\Quality\DPV Into Rattle Road\KW32\[Open Defects into Rattle Test Daily KW32D1.xlsx]BY73X - Assembly (PM)'!$C$6</v>
      </c>
      <c r="C35" s="7" t="str">
        <f t="shared" si="28"/>
        <v>=(SUMPRODUCT(('X:\BY7xx Shared Management Information\5. BY731 Line_Subs_Final  2018\01 Mike Gaffney\Quality\DPV Into Rattle Road\KW32\[Open Defects into Rattle Test Daily KW32D1.xlsx]BY73X - Assembly (PM)'!$I:$I="Paintshop")+0)+SUMPRODUCT(('X:\BY7xx Shared Management Information\5. BY731 Line_Subs_Final  2018\01 Mike Gaffney\Quality\DPV Into Rattle Road\KW32\[Open Defects into Rattle Test Daily KW32D1.xlsx]BY73X - Assembly (PM)'!$I:$I="Paint")+0))/'X:\BY7xx Shared Management Information\5. BY731 Line_Subs_Final  2018\01 Mike Gaffney\Quality\DPV Into Rattle Road\KW32\[Open Defects into Rattle Test Daily KW32D1.xlsx]BY73X - Assembly (PM)'!$C$4</v>
      </c>
      <c r="D35" s="7" t="str">
        <f t="shared" si="29"/>
        <v>=(SUMPRODUCT(('X:\BY7xx Shared Management Information\5. BY731 Line_Subs_Final  2018\01 Mike Gaffney\Quality\DPV Into Rattle Road\KW32\[Open Defects into Rattle Test Daily KW32D1.xlsx]BY73X - Assembly (PM)'!$I:$I="Car Locked")+0))/'X:\BY7xx Shared Management Information\5. BY731 Line_Subs_Final  2018\01 Mike Gaffney\Quality\DPV Into Rattle Road\KW32\[Open Defects into Rattle Test Daily KW32D1.xlsx]BY73X - Assembly (PM)'!$C$4</v>
      </c>
      <c r="E35" s="8" t="e">
        <f t="shared" si="17"/>
        <v>#VALUE!</v>
      </c>
      <c r="F35" s="6" t="str">
        <f t="shared" si="39"/>
        <v>='X:\BY7xx Shared Management Information\5. BY731 Line_Subs_Final  2018\01 Mike Gaffney\Quality\DPV Into Rattle Road\KW32\[Open Defects into Rattle Test Daily KW32D2.xlsx]BY73X - Assembly (PM)'!$C$6</v>
      </c>
      <c r="G35" s="7" t="str">
        <f t="shared" si="30"/>
        <v>=(SUMPRODUCT(('X:\BY7xx Shared Management Information\5. BY731 Line_Subs_Final  2018\01 Mike Gaffney\Quality\DPV Into Rattle Road\KW32\[Open Defects into Rattle Test Daily KW32D2.xlsx]BY73X - Assembly (PM)'!$I:$I="Paintshop")+0)+SUMPRODUCT(('X:\BY7xx Shared Management Information\5. BY731 Line_Subs_Final  2018\01 Mike Gaffney\Quality\DPV Into Rattle Road\KW32\[Open Defects into Rattle Test Daily KW32D2.xlsx]BY73X - Assembly (PM)'!$I:$I="Paint")+0))/'X:\BY7xx Shared Management Information\5. BY731 Line_Subs_Final  2018\01 Mike Gaffney\Quality\DPV Into Rattle Road\KW32\[Open Defects into Rattle Test Daily KW32D2.xlsx]BY73X - Assembly (PM)'!$C$4</v>
      </c>
      <c r="H35" s="7" t="str">
        <f t="shared" si="31"/>
        <v>=(SUMPRODUCT(('X:\BY7xx Shared Management Information\5. BY731 Line_Subs_Final  2018\01 Mike Gaffney\Quality\DPV Into Rattle Road\KW32\[Open Defects into Rattle Test Daily KW32D2.xlsx]BY73X - Assembly (PM)'!$I:$I="Car Locked")+0))/'X:\BY7xx Shared Management Information\5. BY731 Line_Subs_Final  2018\01 Mike Gaffney\Quality\DPV Into Rattle Road\KW32\[Open Defects into Rattle Test Daily KW32D2.xlsx]BY73X - Assembly (PM)'!$C$4</v>
      </c>
      <c r="I35" s="8" t="e">
        <f t="shared" si="18"/>
        <v>#VALUE!</v>
      </c>
      <c r="J35" s="6" t="str">
        <f t="shared" si="40"/>
        <v>='X:\BY7xx Shared Management Information\5. BY731 Line_Subs_Final  2018\01 Mike Gaffney\Quality\DPV Into Rattle Road\KW32\[Open Defects into Rattle Test Daily KW32D3.xlsx]BY73X - Assembly (PM)'!$C$6</v>
      </c>
      <c r="K35" s="7" t="str">
        <f t="shared" si="32"/>
        <v>=(SUMPRODUCT(('X:\BY7xx Shared Management Information\5. BY731 Line_Subs_Final  2018\01 Mike Gaffney\Quality\DPV Into Rattle Road\KW32\[Open Defects into Rattle Test Daily KW32D3.xlsx]BY73X - Assembly (PM)'!$I:$I="Paintshop")+0)+SUMPRODUCT(('X:\BY7xx Shared Management Information\5. BY731 Line_Subs_Final  2018\01 Mike Gaffney\Quality\DPV Into Rattle Road\KW32\[Open Defects into Rattle Test Daily KW32D3.xlsx]BY73X - Assembly (PM)'!$I:$I="Paint")+0))/'X:\BY7xx Shared Management Information\5. BY731 Line_Subs_Final  2018\01 Mike Gaffney\Quality\DPV Into Rattle Road\KW32\[Open Defects into Rattle Test Daily KW32D3.xlsx]BY73X - Assembly (PM)'!$C$4</v>
      </c>
      <c r="L35" s="7" t="str">
        <f t="shared" si="33"/>
        <v>=(SUMPRODUCT(('X:\BY7xx Shared Management Information\5. BY731 Line_Subs_Final  2018\01 Mike Gaffney\Quality\DPV Into Rattle Road\KW32\[Open Defects into Rattle Test Daily KW32D3.xlsx]BY73X - Assembly (PM)'!$I:$I="Car Locked")+0))/'X:\BY7xx Shared Management Information\5. BY731 Line_Subs_Final  2018\01 Mike Gaffney\Quality\DPV Into Rattle Road\KW32\[Open Defects into Rattle Test Daily KW32D3.xlsx]BY73X - Assembly (PM)'!$C$4</v>
      </c>
      <c r="M35" s="8" t="e">
        <f t="shared" si="19"/>
        <v>#VALUE!</v>
      </c>
      <c r="N35" s="6" t="str">
        <f t="shared" si="41"/>
        <v>='X:\BY7xx Shared Management Information\5. BY731 Line_Subs_Final  2018\01 Mike Gaffney\Quality\DPV Into Rattle Road\KW32\[Open Defects into Rattle Test Daily KW32D4.xlsx]BY73X - Assembly (PM)'!$C$6</v>
      </c>
      <c r="O35" s="7" t="str">
        <f t="shared" si="34"/>
        <v>=(SUMPRODUCT(('X:\BY7xx Shared Management Information\5. BY731 Line_Subs_Final  2018\01 Mike Gaffney\Quality\DPV Into Rattle Road\KW32\[Open Defects into Rattle Test Daily KW32D4.xlsx]BY73X - Assembly (PM)'!$I:$I="Paintshop")+0)+SUMPRODUCT(('X:\BY7xx Shared Management Information\5. BY731 Line_Subs_Final  2018\01 Mike Gaffney\Quality\DPV Into Rattle Road\KW32\[Open Defects into Rattle Test Daily KW32D4.xlsx]BY73X - Assembly (PM)'!$I:$I="Paint")+0))/'X:\BY7xx Shared Management Information\5. BY731 Line_Subs_Final  2018\01 Mike Gaffney\Quality\DPV Into Rattle Road\KW32\[Open Defects into Rattle Test Daily KW32D4.xlsx]BY73X - Assembly (PM)'!$C$4</v>
      </c>
      <c r="P35" s="7" t="str">
        <f t="shared" si="35"/>
        <v>=(SUMPRODUCT(('X:\BY7xx Shared Management Information\5. BY731 Line_Subs_Final  2018\01 Mike Gaffney\Quality\DPV Into Rattle Road\KW32\[Open Defects into Rattle Test Daily KW32D4.xlsx]BY73X - Assembly (PM)'!$I:$I="Car Locked")+0))/'X:\BY7xx Shared Management Information\5. BY731 Line_Subs_Final  2018\01 Mike Gaffney\Quality\DPV Into Rattle Road\KW32\[Open Defects into Rattle Test Daily KW32D4.xlsx]BY73X - Assembly (PM)'!$C$4</v>
      </c>
      <c r="Q35" s="8" t="e">
        <f t="shared" si="20"/>
        <v>#VALUE!</v>
      </c>
      <c r="R35" s="6" t="str">
        <f t="shared" si="41"/>
        <v>='X:\BY7xx Shared Management Information\5. BY731 Line_Subs_Final  2018\01 Mike Gaffney\Quality\DPV Into Rattle Road\KW32\[Open Defects into Rattle Test Daily KW32D5.xlsx]BY73X - Assembly (PM)'!$C$6</v>
      </c>
      <c r="S35" s="7" t="str">
        <f t="shared" si="36"/>
        <v>=(SUMPRODUCT(('X:\BY7xx Shared Management Information\5. BY731 Line_Subs_Final  2018\01 Mike Gaffney\Quality\DPV Into Rattle Road\KW32\[Open Defects into Rattle Test Daily KW32D5.xlsx]BY73X - Assembly (PM)'!$I:$I="Paintshop")+0)+SUMPRODUCT(('X:\BY7xx Shared Management Information\5. BY731 Line_Subs_Final  2018\01 Mike Gaffney\Quality\DPV Into Rattle Road\KW32\[Open Defects into Rattle Test Daily KW32D5.xlsx]BY73X - Assembly (PM)'!$I:$I="Paint")+0))/'X:\BY7xx Shared Management Information\5. BY731 Line_Subs_Final  2018\01 Mike Gaffney\Quality\DPV Into Rattle Road\KW32\[Open Defects into Rattle Test Daily KW32D5.xlsx]BY73X - Assembly (PM)'!$C$4</v>
      </c>
      <c r="T35" s="7" t="str">
        <f t="shared" si="37"/>
        <v>=(SUMPRODUCT(('X:\BY7xx Shared Management Information\5. BY731 Line_Subs_Final  2018\01 Mike Gaffney\Quality\DPV Into Rattle Road\KW32\[Open Defects into Rattle Test Daily KW32D5.xlsx]BY73X - Assembly (PM)'!$I:$I="Car Locked")+0))/'X:\BY7xx Shared Management Information\5. BY731 Line_Subs_Final  2018\01 Mike Gaffney\Quality\DPV Into Rattle Road\KW32\[Open Defects into Rattle Test Daily KW32D5.xlsx]BY73X - Assembly (PM)'!$C$4</v>
      </c>
      <c r="U35" s="8" t="e">
        <f t="shared" si="21"/>
        <v>#VALUE!</v>
      </c>
      <c r="V35" t="e">
        <f t="shared" si="22"/>
        <v>#DIV/0!</v>
      </c>
      <c r="W35" t="e">
        <f t="shared" si="23"/>
        <v>#DIV/0!</v>
      </c>
      <c r="X35" t="e">
        <f t="shared" si="24"/>
        <v>#DIV/0!</v>
      </c>
      <c r="Y35" t="e">
        <f t="shared" si="25"/>
        <v>#VALUE!</v>
      </c>
      <c r="Z35" s="3">
        <v>1.57</v>
      </c>
    </row>
    <row r="36" spans="1:26" x14ac:dyDescent="0.2">
      <c r="A36" t="s">
        <v>37</v>
      </c>
      <c r="B36" s="6" t="str">
        <f t="shared" si="38"/>
        <v>='X:\BY7xx Shared Management Information\5. BY731 Line_Subs_Final  2018\01 Mike Gaffney\Quality\DPV Into Rattle Road\KW33\[Open Defects into Rattle Test Daily KW33D1.xlsx]BY73X - Assembly (PM)'!$C$6</v>
      </c>
      <c r="C36" s="7" t="str">
        <f t="shared" si="28"/>
        <v>=(SUMPRODUCT(('X:\BY7xx Shared Management Information\5. BY731 Line_Subs_Final  2018\01 Mike Gaffney\Quality\DPV Into Rattle Road\KW33\[Open Defects into Rattle Test Daily KW33D1.xlsx]BY73X - Assembly (PM)'!$I:$I="Paintshop")+0)+SUMPRODUCT(('X:\BY7xx Shared Management Information\5. BY731 Line_Subs_Final  2018\01 Mike Gaffney\Quality\DPV Into Rattle Road\KW33\[Open Defects into Rattle Test Daily KW33D1.xlsx]BY73X - Assembly (PM)'!$I:$I="Paint")+0))/'X:\BY7xx Shared Management Information\5. BY731 Line_Subs_Final  2018\01 Mike Gaffney\Quality\DPV Into Rattle Road\KW33\[Open Defects into Rattle Test Daily KW33D1.xlsx]BY73X - Assembly (PM)'!$C$4</v>
      </c>
      <c r="D36" s="7" t="str">
        <f t="shared" si="29"/>
        <v>=(SUMPRODUCT(('X:\BY7xx Shared Management Information\5. BY731 Line_Subs_Final  2018\01 Mike Gaffney\Quality\DPV Into Rattle Road\KW33\[Open Defects into Rattle Test Daily KW33D1.xlsx]BY73X - Assembly (PM)'!$I:$I="Car Locked")+0))/'X:\BY7xx Shared Management Information\5. BY731 Line_Subs_Final  2018\01 Mike Gaffney\Quality\DPV Into Rattle Road\KW33\[Open Defects into Rattle Test Daily KW33D1.xlsx]BY73X - Assembly (PM)'!$C$4</v>
      </c>
      <c r="E36" s="8" t="e">
        <f t="shared" si="17"/>
        <v>#VALUE!</v>
      </c>
      <c r="F36" s="6" t="str">
        <f t="shared" si="39"/>
        <v>='X:\BY7xx Shared Management Information\5. BY731 Line_Subs_Final  2018\01 Mike Gaffney\Quality\DPV Into Rattle Road\KW33\[Open Defects into Rattle Test Daily KW33D2.xlsx]BY73X - Assembly (PM)'!$C$6</v>
      </c>
      <c r="G36" s="7" t="str">
        <f t="shared" si="30"/>
        <v>=(SUMPRODUCT(('X:\BY7xx Shared Management Information\5. BY731 Line_Subs_Final  2018\01 Mike Gaffney\Quality\DPV Into Rattle Road\KW33\[Open Defects into Rattle Test Daily KW33D2.xlsx]BY73X - Assembly (PM)'!$I:$I="Paintshop")+0)+SUMPRODUCT(('X:\BY7xx Shared Management Information\5. BY731 Line_Subs_Final  2018\01 Mike Gaffney\Quality\DPV Into Rattle Road\KW33\[Open Defects into Rattle Test Daily KW33D2.xlsx]BY73X - Assembly (PM)'!$I:$I="Paint")+0))/'X:\BY7xx Shared Management Information\5. BY731 Line_Subs_Final  2018\01 Mike Gaffney\Quality\DPV Into Rattle Road\KW33\[Open Defects into Rattle Test Daily KW33D2.xlsx]BY73X - Assembly (PM)'!$C$4</v>
      </c>
      <c r="H36" s="7" t="str">
        <f t="shared" si="31"/>
        <v>=(SUMPRODUCT(('X:\BY7xx Shared Management Information\5. BY731 Line_Subs_Final  2018\01 Mike Gaffney\Quality\DPV Into Rattle Road\KW33\[Open Defects into Rattle Test Daily KW33D2.xlsx]BY73X - Assembly (PM)'!$I:$I="Car Locked")+0))/'X:\BY7xx Shared Management Information\5. BY731 Line_Subs_Final  2018\01 Mike Gaffney\Quality\DPV Into Rattle Road\KW33\[Open Defects into Rattle Test Daily KW33D2.xlsx]BY73X - Assembly (PM)'!$C$4</v>
      </c>
      <c r="I36" s="8" t="e">
        <f t="shared" si="18"/>
        <v>#VALUE!</v>
      </c>
      <c r="J36" s="6" t="str">
        <f t="shared" si="40"/>
        <v>='X:\BY7xx Shared Management Information\5. BY731 Line_Subs_Final  2018\01 Mike Gaffney\Quality\DPV Into Rattle Road\KW33\[Open Defects into Rattle Test Daily KW33D3.xlsx]BY73X - Assembly (PM)'!$C$6</v>
      </c>
      <c r="K36" s="7" t="str">
        <f t="shared" si="32"/>
        <v>=(SUMPRODUCT(('X:\BY7xx Shared Management Information\5. BY731 Line_Subs_Final  2018\01 Mike Gaffney\Quality\DPV Into Rattle Road\KW33\[Open Defects into Rattle Test Daily KW33D3.xlsx]BY73X - Assembly (PM)'!$I:$I="Paintshop")+0)+SUMPRODUCT(('X:\BY7xx Shared Management Information\5. BY731 Line_Subs_Final  2018\01 Mike Gaffney\Quality\DPV Into Rattle Road\KW33\[Open Defects into Rattle Test Daily KW33D3.xlsx]BY73X - Assembly (PM)'!$I:$I="Paint")+0))/'X:\BY7xx Shared Management Information\5. BY731 Line_Subs_Final  2018\01 Mike Gaffney\Quality\DPV Into Rattle Road\KW33\[Open Defects into Rattle Test Daily KW33D3.xlsx]BY73X - Assembly (PM)'!$C$4</v>
      </c>
      <c r="L36" s="7" t="str">
        <f t="shared" si="33"/>
        <v>=(SUMPRODUCT(('X:\BY7xx Shared Management Information\5. BY731 Line_Subs_Final  2018\01 Mike Gaffney\Quality\DPV Into Rattle Road\KW33\[Open Defects into Rattle Test Daily KW33D3.xlsx]BY73X - Assembly (PM)'!$I:$I="Car Locked")+0))/'X:\BY7xx Shared Management Information\5. BY731 Line_Subs_Final  2018\01 Mike Gaffney\Quality\DPV Into Rattle Road\KW33\[Open Defects into Rattle Test Daily KW33D3.xlsx]BY73X - Assembly (PM)'!$C$4</v>
      </c>
      <c r="M36" s="8" t="e">
        <f t="shared" si="19"/>
        <v>#VALUE!</v>
      </c>
      <c r="N36" s="6" t="str">
        <f t="shared" si="41"/>
        <v>='X:\BY7xx Shared Management Information\5. BY731 Line_Subs_Final  2018\01 Mike Gaffney\Quality\DPV Into Rattle Road\KW33\[Open Defects into Rattle Test Daily KW33D4.xlsx]BY73X - Assembly (PM)'!$C$6</v>
      </c>
      <c r="O36" s="7" t="str">
        <f t="shared" si="34"/>
        <v>=(SUMPRODUCT(('X:\BY7xx Shared Management Information\5. BY731 Line_Subs_Final  2018\01 Mike Gaffney\Quality\DPV Into Rattle Road\KW33\[Open Defects into Rattle Test Daily KW33D4.xlsx]BY73X - Assembly (PM)'!$I:$I="Paintshop")+0)+SUMPRODUCT(('X:\BY7xx Shared Management Information\5. BY731 Line_Subs_Final  2018\01 Mike Gaffney\Quality\DPV Into Rattle Road\KW33\[Open Defects into Rattle Test Daily KW33D4.xlsx]BY73X - Assembly (PM)'!$I:$I="Paint")+0))/'X:\BY7xx Shared Management Information\5. BY731 Line_Subs_Final  2018\01 Mike Gaffney\Quality\DPV Into Rattle Road\KW33\[Open Defects into Rattle Test Daily KW33D4.xlsx]BY73X - Assembly (PM)'!$C$4</v>
      </c>
      <c r="P36" s="7" t="str">
        <f t="shared" si="35"/>
        <v>=(SUMPRODUCT(('X:\BY7xx Shared Management Information\5. BY731 Line_Subs_Final  2018\01 Mike Gaffney\Quality\DPV Into Rattle Road\KW33\[Open Defects into Rattle Test Daily KW33D4.xlsx]BY73X - Assembly (PM)'!$I:$I="Car Locked")+0))/'X:\BY7xx Shared Management Information\5. BY731 Line_Subs_Final  2018\01 Mike Gaffney\Quality\DPV Into Rattle Road\KW33\[Open Defects into Rattle Test Daily KW33D4.xlsx]BY73X - Assembly (PM)'!$C$4</v>
      </c>
      <c r="Q36" s="8" t="e">
        <f t="shared" si="20"/>
        <v>#VALUE!</v>
      </c>
      <c r="R36" s="6" t="str">
        <f t="shared" si="41"/>
        <v>='X:\BY7xx Shared Management Information\5. BY731 Line_Subs_Final  2018\01 Mike Gaffney\Quality\DPV Into Rattle Road\KW33\[Open Defects into Rattle Test Daily KW33D5.xlsx]BY73X - Assembly (PM)'!$C$6</v>
      </c>
      <c r="S36" s="7" t="str">
        <f t="shared" si="36"/>
        <v>=(SUMPRODUCT(('X:\BY7xx Shared Management Information\5. BY731 Line_Subs_Final  2018\01 Mike Gaffney\Quality\DPV Into Rattle Road\KW33\[Open Defects into Rattle Test Daily KW33D5.xlsx]BY73X - Assembly (PM)'!$I:$I="Paintshop")+0)+SUMPRODUCT(('X:\BY7xx Shared Management Information\5. BY731 Line_Subs_Final  2018\01 Mike Gaffney\Quality\DPV Into Rattle Road\KW33\[Open Defects into Rattle Test Daily KW33D5.xlsx]BY73X - Assembly (PM)'!$I:$I="Paint")+0))/'X:\BY7xx Shared Management Information\5. BY731 Line_Subs_Final  2018\01 Mike Gaffney\Quality\DPV Into Rattle Road\KW33\[Open Defects into Rattle Test Daily KW33D5.xlsx]BY73X - Assembly (PM)'!$C$4</v>
      </c>
      <c r="T36" s="7" t="str">
        <f t="shared" si="37"/>
        <v>=(SUMPRODUCT(('X:\BY7xx Shared Management Information\5. BY731 Line_Subs_Final  2018\01 Mike Gaffney\Quality\DPV Into Rattle Road\KW33\[Open Defects into Rattle Test Daily KW33D5.xlsx]BY73X - Assembly (PM)'!$I:$I="Car Locked")+0))/'X:\BY7xx Shared Management Information\5. BY731 Line_Subs_Final  2018\01 Mike Gaffney\Quality\DPV Into Rattle Road\KW33\[Open Defects into Rattle Test Daily KW33D5.xlsx]BY73X - Assembly (PM)'!$C$4</v>
      </c>
      <c r="U36" s="8" t="e">
        <f t="shared" si="21"/>
        <v>#VALUE!</v>
      </c>
      <c r="V36" t="e">
        <f t="shared" si="22"/>
        <v>#DIV/0!</v>
      </c>
      <c r="W36" t="e">
        <f t="shared" si="23"/>
        <v>#DIV/0!</v>
      </c>
      <c r="X36" t="e">
        <f t="shared" si="24"/>
        <v>#DIV/0!</v>
      </c>
      <c r="Y36" t="e">
        <f t="shared" si="25"/>
        <v>#VALUE!</v>
      </c>
      <c r="Z36" s="3">
        <v>1.57</v>
      </c>
    </row>
    <row r="37" spans="1:26" x14ac:dyDescent="0.2">
      <c r="A37" t="s">
        <v>38</v>
      </c>
      <c r="B37" s="6" t="str">
        <f t="shared" si="38"/>
        <v>='X:\BY7xx Shared Management Information\5. BY731 Line_Subs_Final  2018\01 Mike Gaffney\Quality\DPV Into Rattle Road\KW34\[Open Defects into Rattle Test Daily KW34D1.xlsx]BY73X - Assembly (PM)'!$C$6</v>
      </c>
      <c r="C37" s="7" t="str">
        <f t="shared" si="28"/>
        <v>=(SUMPRODUCT(('X:\BY7xx Shared Management Information\5. BY731 Line_Subs_Final  2018\01 Mike Gaffney\Quality\DPV Into Rattle Road\KW34\[Open Defects into Rattle Test Daily KW34D1.xlsx]BY73X - Assembly (PM)'!$I:$I="Paintshop")+0)+SUMPRODUCT(('X:\BY7xx Shared Management Information\5. BY731 Line_Subs_Final  2018\01 Mike Gaffney\Quality\DPV Into Rattle Road\KW34\[Open Defects into Rattle Test Daily KW34D1.xlsx]BY73X - Assembly (PM)'!$I:$I="Paint")+0))/'X:\BY7xx Shared Management Information\5. BY731 Line_Subs_Final  2018\01 Mike Gaffney\Quality\DPV Into Rattle Road\KW34\[Open Defects into Rattle Test Daily KW34D1.xlsx]BY73X - Assembly (PM)'!$C$4</v>
      </c>
      <c r="D37" s="7" t="str">
        <f t="shared" si="29"/>
        <v>=(SUMPRODUCT(('X:\BY7xx Shared Management Information\5. BY731 Line_Subs_Final  2018\01 Mike Gaffney\Quality\DPV Into Rattle Road\KW34\[Open Defects into Rattle Test Daily KW34D1.xlsx]BY73X - Assembly (PM)'!$I:$I="Car Locked")+0))/'X:\BY7xx Shared Management Information\5. BY731 Line_Subs_Final  2018\01 Mike Gaffney\Quality\DPV Into Rattle Road\KW34\[Open Defects into Rattle Test Daily KW34D1.xlsx]BY73X - Assembly (PM)'!$C$4</v>
      </c>
      <c r="E37" s="8" t="e">
        <f t="shared" si="17"/>
        <v>#VALUE!</v>
      </c>
      <c r="F37" s="6" t="str">
        <f t="shared" si="39"/>
        <v>='X:\BY7xx Shared Management Information\5. BY731 Line_Subs_Final  2018\01 Mike Gaffney\Quality\DPV Into Rattle Road\KW34\[Open Defects into Rattle Test Daily KW34D2.xlsx]BY73X - Assembly (PM)'!$C$6</v>
      </c>
      <c r="G37" s="7" t="str">
        <f t="shared" si="30"/>
        <v>=(SUMPRODUCT(('X:\BY7xx Shared Management Information\5. BY731 Line_Subs_Final  2018\01 Mike Gaffney\Quality\DPV Into Rattle Road\KW34\[Open Defects into Rattle Test Daily KW34D2.xlsx]BY73X - Assembly (PM)'!$I:$I="Paintshop")+0)+SUMPRODUCT(('X:\BY7xx Shared Management Information\5. BY731 Line_Subs_Final  2018\01 Mike Gaffney\Quality\DPV Into Rattle Road\KW34\[Open Defects into Rattle Test Daily KW34D2.xlsx]BY73X - Assembly (PM)'!$I:$I="Paint")+0))/'X:\BY7xx Shared Management Information\5. BY731 Line_Subs_Final  2018\01 Mike Gaffney\Quality\DPV Into Rattle Road\KW34\[Open Defects into Rattle Test Daily KW34D2.xlsx]BY73X - Assembly (PM)'!$C$4</v>
      </c>
      <c r="H37" s="7" t="str">
        <f t="shared" si="31"/>
        <v>=(SUMPRODUCT(('X:\BY7xx Shared Management Information\5. BY731 Line_Subs_Final  2018\01 Mike Gaffney\Quality\DPV Into Rattle Road\KW34\[Open Defects into Rattle Test Daily KW34D2.xlsx]BY73X - Assembly (PM)'!$I:$I="Car Locked")+0))/'X:\BY7xx Shared Management Information\5. BY731 Line_Subs_Final  2018\01 Mike Gaffney\Quality\DPV Into Rattle Road\KW34\[Open Defects into Rattle Test Daily KW34D2.xlsx]BY73X - Assembly (PM)'!$C$4</v>
      </c>
      <c r="I37" s="8" t="e">
        <f t="shared" si="18"/>
        <v>#VALUE!</v>
      </c>
      <c r="J37" s="6" t="str">
        <f t="shared" si="40"/>
        <v>='X:\BY7xx Shared Management Information\5. BY731 Line_Subs_Final  2018\01 Mike Gaffney\Quality\DPV Into Rattle Road\KW34\[Open Defects into Rattle Test Daily KW34D3.xlsx]BY73X - Assembly (PM)'!$C$6</v>
      </c>
      <c r="K37" s="7" t="str">
        <f t="shared" si="32"/>
        <v>=(SUMPRODUCT(('X:\BY7xx Shared Management Information\5. BY731 Line_Subs_Final  2018\01 Mike Gaffney\Quality\DPV Into Rattle Road\KW34\[Open Defects into Rattle Test Daily KW34D3.xlsx]BY73X - Assembly (PM)'!$I:$I="Paintshop")+0)+SUMPRODUCT(('X:\BY7xx Shared Management Information\5. BY731 Line_Subs_Final  2018\01 Mike Gaffney\Quality\DPV Into Rattle Road\KW34\[Open Defects into Rattle Test Daily KW34D3.xlsx]BY73X - Assembly (PM)'!$I:$I="Paint")+0))/'X:\BY7xx Shared Management Information\5. BY731 Line_Subs_Final  2018\01 Mike Gaffney\Quality\DPV Into Rattle Road\KW34\[Open Defects into Rattle Test Daily KW34D3.xlsx]BY73X - Assembly (PM)'!$C$4</v>
      </c>
      <c r="L37" s="7" t="str">
        <f t="shared" si="33"/>
        <v>=(SUMPRODUCT(('X:\BY7xx Shared Management Information\5. BY731 Line_Subs_Final  2018\01 Mike Gaffney\Quality\DPV Into Rattle Road\KW34\[Open Defects into Rattle Test Daily KW34D3.xlsx]BY73X - Assembly (PM)'!$I:$I="Car Locked")+0))/'X:\BY7xx Shared Management Information\5. BY731 Line_Subs_Final  2018\01 Mike Gaffney\Quality\DPV Into Rattle Road\KW34\[Open Defects into Rattle Test Daily KW34D3.xlsx]BY73X - Assembly (PM)'!$C$4</v>
      </c>
      <c r="M37" s="8" t="e">
        <f t="shared" si="19"/>
        <v>#VALUE!</v>
      </c>
      <c r="N37" s="6" t="str">
        <f t="shared" si="41"/>
        <v>='X:\BY7xx Shared Management Information\5. BY731 Line_Subs_Final  2018\01 Mike Gaffney\Quality\DPV Into Rattle Road\KW34\[Open Defects into Rattle Test Daily KW34D4.xlsx]BY73X - Assembly (PM)'!$C$6</v>
      </c>
      <c r="O37" s="7" t="str">
        <f t="shared" si="34"/>
        <v>=(SUMPRODUCT(('X:\BY7xx Shared Management Information\5. BY731 Line_Subs_Final  2018\01 Mike Gaffney\Quality\DPV Into Rattle Road\KW34\[Open Defects into Rattle Test Daily KW34D4.xlsx]BY73X - Assembly (PM)'!$I:$I="Paintshop")+0)+SUMPRODUCT(('X:\BY7xx Shared Management Information\5. BY731 Line_Subs_Final  2018\01 Mike Gaffney\Quality\DPV Into Rattle Road\KW34\[Open Defects into Rattle Test Daily KW34D4.xlsx]BY73X - Assembly (PM)'!$I:$I="Paint")+0))/'X:\BY7xx Shared Management Information\5. BY731 Line_Subs_Final  2018\01 Mike Gaffney\Quality\DPV Into Rattle Road\KW34\[Open Defects into Rattle Test Daily KW34D4.xlsx]BY73X - Assembly (PM)'!$C$4</v>
      </c>
      <c r="P37" s="7" t="str">
        <f t="shared" si="35"/>
        <v>=(SUMPRODUCT(('X:\BY7xx Shared Management Information\5. BY731 Line_Subs_Final  2018\01 Mike Gaffney\Quality\DPV Into Rattle Road\KW34\[Open Defects into Rattle Test Daily KW34D4.xlsx]BY73X - Assembly (PM)'!$I:$I="Car Locked")+0))/'X:\BY7xx Shared Management Information\5. BY731 Line_Subs_Final  2018\01 Mike Gaffney\Quality\DPV Into Rattle Road\KW34\[Open Defects into Rattle Test Daily KW34D4.xlsx]BY73X - Assembly (PM)'!$C$4</v>
      </c>
      <c r="Q37" s="8" t="e">
        <f t="shared" si="20"/>
        <v>#VALUE!</v>
      </c>
      <c r="R37" s="6" t="str">
        <f t="shared" si="41"/>
        <v>='X:\BY7xx Shared Management Information\5. BY731 Line_Subs_Final  2018\01 Mike Gaffney\Quality\DPV Into Rattle Road\KW34\[Open Defects into Rattle Test Daily KW34D5.xlsx]BY73X - Assembly (PM)'!$C$6</v>
      </c>
      <c r="S37" s="7" t="str">
        <f t="shared" si="36"/>
        <v>=(SUMPRODUCT(('X:\BY7xx Shared Management Information\5. BY731 Line_Subs_Final  2018\01 Mike Gaffney\Quality\DPV Into Rattle Road\KW34\[Open Defects into Rattle Test Daily KW34D5.xlsx]BY73X - Assembly (PM)'!$I:$I="Paintshop")+0)+SUMPRODUCT(('X:\BY7xx Shared Management Information\5. BY731 Line_Subs_Final  2018\01 Mike Gaffney\Quality\DPV Into Rattle Road\KW34\[Open Defects into Rattle Test Daily KW34D5.xlsx]BY73X - Assembly (PM)'!$I:$I="Paint")+0))/'X:\BY7xx Shared Management Information\5. BY731 Line_Subs_Final  2018\01 Mike Gaffney\Quality\DPV Into Rattle Road\KW34\[Open Defects into Rattle Test Daily KW34D5.xlsx]BY73X - Assembly (PM)'!$C$4</v>
      </c>
      <c r="T37" s="7" t="str">
        <f t="shared" si="37"/>
        <v>=(SUMPRODUCT(('X:\BY7xx Shared Management Information\5. BY731 Line_Subs_Final  2018\01 Mike Gaffney\Quality\DPV Into Rattle Road\KW34\[Open Defects into Rattle Test Daily KW34D5.xlsx]BY73X - Assembly (PM)'!$I:$I="Car Locked")+0))/'X:\BY7xx Shared Management Information\5. BY731 Line_Subs_Final  2018\01 Mike Gaffney\Quality\DPV Into Rattle Road\KW34\[Open Defects into Rattle Test Daily KW34D5.xlsx]BY73X - Assembly (PM)'!$C$4</v>
      </c>
      <c r="U37" s="8" t="e">
        <f t="shared" si="21"/>
        <v>#VALUE!</v>
      </c>
      <c r="V37" t="e">
        <f t="shared" si="22"/>
        <v>#DIV/0!</v>
      </c>
      <c r="W37" t="e">
        <f t="shared" si="23"/>
        <v>#DIV/0!</v>
      </c>
      <c r="X37" t="e">
        <f t="shared" si="24"/>
        <v>#DIV/0!</v>
      </c>
      <c r="Y37" t="e">
        <f t="shared" si="25"/>
        <v>#VALUE!</v>
      </c>
      <c r="Z37" s="3">
        <v>1.57</v>
      </c>
    </row>
    <row r="38" spans="1:26" x14ac:dyDescent="0.2">
      <c r="A38" t="s">
        <v>39</v>
      </c>
      <c r="B38" s="6" t="str">
        <f t="shared" si="38"/>
        <v>='X:\BY7xx Shared Management Information\5. BY731 Line_Subs_Final  2018\01 Mike Gaffney\Quality\DPV Into Rattle Road\KW35\[Open Defects into Rattle Test Daily KW35D1.xlsx]BY73X - Assembly (PM)'!$C$6</v>
      </c>
      <c r="C38" s="7" t="str">
        <f t="shared" si="28"/>
        <v>=(SUMPRODUCT(('X:\BY7xx Shared Management Information\5. BY731 Line_Subs_Final  2018\01 Mike Gaffney\Quality\DPV Into Rattle Road\KW35\[Open Defects into Rattle Test Daily KW35D1.xlsx]BY73X - Assembly (PM)'!$I:$I="Paintshop")+0)+SUMPRODUCT(('X:\BY7xx Shared Management Information\5. BY731 Line_Subs_Final  2018\01 Mike Gaffney\Quality\DPV Into Rattle Road\KW35\[Open Defects into Rattle Test Daily KW35D1.xlsx]BY73X - Assembly (PM)'!$I:$I="Paint")+0))/'X:\BY7xx Shared Management Information\5. BY731 Line_Subs_Final  2018\01 Mike Gaffney\Quality\DPV Into Rattle Road\KW35\[Open Defects into Rattle Test Daily KW35D1.xlsx]BY73X - Assembly (PM)'!$C$4</v>
      </c>
      <c r="D38" s="7" t="str">
        <f t="shared" si="29"/>
        <v>=(SUMPRODUCT(('X:\BY7xx Shared Management Information\5. BY731 Line_Subs_Final  2018\01 Mike Gaffney\Quality\DPV Into Rattle Road\KW35\[Open Defects into Rattle Test Daily KW35D1.xlsx]BY73X - Assembly (PM)'!$I:$I="Car Locked")+0))/'X:\BY7xx Shared Management Information\5. BY731 Line_Subs_Final  2018\01 Mike Gaffney\Quality\DPV Into Rattle Road\KW35\[Open Defects into Rattle Test Daily KW35D1.xlsx]BY73X - Assembly (PM)'!$C$4</v>
      </c>
      <c r="E38" s="8" t="e">
        <f t="shared" si="17"/>
        <v>#VALUE!</v>
      </c>
      <c r="F38" s="6" t="str">
        <f t="shared" si="39"/>
        <v>='X:\BY7xx Shared Management Information\5. BY731 Line_Subs_Final  2018\01 Mike Gaffney\Quality\DPV Into Rattle Road\KW35\[Open Defects into Rattle Test Daily KW35D2.xlsx]BY73X - Assembly (PM)'!$C$6</v>
      </c>
      <c r="G38" s="7" t="str">
        <f t="shared" si="30"/>
        <v>=(SUMPRODUCT(('X:\BY7xx Shared Management Information\5. BY731 Line_Subs_Final  2018\01 Mike Gaffney\Quality\DPV Into Rattle Road\KW35\[Open Defects into Rattle Test Daily KW35D2.xlsx]BY73X - Assembly (PM)'!$I:$I="Paintshop")+0)+SUMPRODUCT(('X:\BY7xx Shared Management Information\5. BY731 Line_Subs_Final  2018\01 Mike Gaffney\Quality\DPV Into Rattle Road\KW35\[Open Defects into Rattle Test Daily KW35D2.xlsx]BY73X - Assembly (PM)'!$I:$I="Paint")+0))/'X:\BY7xx Shared Management Information\5. BY731 Line_Subs_Final  2018\01 Mike Gaffney\Quality\DPV Into Rattle Road\KW35\[Open Defects into Rattle Test Daily KW35D2.xlsx]BY73X - Assembly (PM)'!$C$4</v>
      </c>
      <c r="H38" s="7" t="str">
        <f t="shared" si="31"/>
        <v>=(SUMPRODUCT(('X:\BY7xx Shared Management Information\5. BY731 Line_Subs_Final  2018\01 Mike Gaffney\Quality\DPV Into Rattle Road\KW35\[Open Defects into Rattle Test Daily KW35D2.xlsx]BY73X - Assembly (PM)'!$I:$I="Car Locked")+0))/'X:\BY7xx Shared Management Information\5. BY731 Line_Subs_Final  2018\01 Mike Gaffney\Quality\DPV Into Rattle Road\KW35\[Open Defects into Rattle Test Daily KW35D2.xlsx]BY73X - Assembly (PM)'!$C$4</v>
      </c>
      <c r="I38" s="8" t="e">
        <f t="shared" si="18"/>
        <v>#VALUE!</v>
      </c>
      <c r="J38" s="6" t="str">
        <f t="shared" si="40"/>
        <v>='X:\BY7xx Shared Management Information\5. BY731 Line_Subs_Final  2018\01 Mike Gaffney\Quality\DPV Into Rattle Road\KW35\[Open Defects into Rattle Test Daily KW35D3.xlsx]BY73X - Assembly (PM)'!$C$6</v>
      </c>
      <c r="K38" s="7" t="str">
        <f t="shared" si="32"/>
        <v>=(SUMPRODUCT(('X:\BY7xx Shared Management Information\5. BY731 Line_Subs_Final  2018\01 Mike Gaffney\Quality\DPV Into Rattle Road\KW35\[Open Defects into Rattle Test Daily KW35D3.xlsx]BY73X - Assembly (PM)'!$I:$I="Paintshop")+0)+SUMPRODUCT(('X:\BY7xx Shared Management Information\5. BY731 Line_Subs_Final  2018\01 Mike Gaffney\Quality\DPV Into Rattle Road\KW35\[Open Defects into Rattle Test Daily KW35D3.xlsx]BY73X - Assembly (PM)'!$I:$I="Paint")+0))/'X:\BY7xx Shared Management Information\5. BY731 Line_Subs_Final  2018\01 Mike Gaffney\Quality\DPV Into Rattle Road\KW35\[Open Defects into Rattle Test Daily KW35D3.xlsx]BY73X - Assembly (PM)'!$C$4</v>
      </c>
      <c r="L38" s="7" t="str">
        <f t="shared" si="33"/>
        <v>=(SUMPRODUCT(('X:\BY7xx Shared Management Information\5. BY731 Line_Subs_Final  2018\01 Mike Gaffney\Quality\DPV Into Rattle Road\KW35\[Open Defects into Rattle Test Daily KW35D3.xlsx]BY73X - Assembly (PM)'!$I:$I="Car Locked")+0))/'X:\BY7xx Shared Management Information\5. BY731 Line_Subs_Final  2018\01 Mike Gaffney\Quality\DPV Into Rattle Road\KW35\[Open Defects into Rattle Test Daily KW35D3.xlsx]BY73X - Assembly (PM)'!$C$4</v>
      </c>
      <c r="M38" s="8" t="e">
        <f t="shared" si="19"/>
        <v>#VALUE!</v>
      </c>
      <c r="N38" s="6" t="str">
        <f t="shared" si="41"/>
        <v>='X:\BY7xx Shared Management Information\5. BY731 Line_Subs_Final  2018\01 Mike Gaffney\Quality\DPV Into Rattle Road\KW35\[Open Defects into Rattle Test Daily KW35D4.xlsx]BY73X - Assembly (PM)'!$C$6</v>
      </c>
      <c r="O38" s="7" t="str">
        <f t="shared" si="34"/>
        <v>=(SUMPRODUCT(('X:\BY7xx Shared Management Information\5. BY731 Line_Subs_Final  2018\01 Mike Gaffney\Quality\DPV Into Rattle Road\KW35\[Open Defects into Rattle Test Daily KW35D4.xlsx]BY73X - Assembly (PM)'!$I:$I="Paintshop")+0)+SUMPRODUCT(('X:\BY7xx Shared Management Information\5. BY731 Line_Subs_Final  2018\01 Mike Gaffney\Quality\DPV Into Rattle Road\KW35\[Open Defects into Rattle Test Daily KW35D4.xlsx]BY73X - Assembly (PM)'!$I:$I="Paint")+0))/'X:\BY7xx Shared Management Information\5. BY731 Line_Subs_Final  2018\01 Mike Gaffney\Quality\DPV Into Rattle Road\KW35\[Open Defects into Rattle Test Daily KW35D4.xlsx]BY73X - Assembly (PM)'!$C$4</v>
      </c>
      <c r="P38" s="7" t="str">
        <f t="shared" si="35"/>
        <v>=(SUMPRODUCT(('X:\BY7xx Shared Management Information\5. BY731 Line_Subs_Final  2018\01 Mike Gaffney\Quality\DPV Into Rattle Road\KW35\[Open Defects into Rattle Test Daily KW35D4.xlsx]BY73X - Assembly (PM)'!$I:$I="Car Locked")+0))/'X:\BY7xx Shared Management Information\5. BY731 Line_Subs_Final  2018\01 Mike Gaffney\Quality\DPV Into Rattle Road\KW35\[Open Defects into Rattle Test Daily KW35D4.xlsx]BY73X - Assembly (PM)'!$C$4</v>
      </c>
      <c r="Q38" s="8" t="e">
        <f t="shared" si="20"/>
        <v>#VALUE!</v>
      </c>
      <c r="R38" s="6" t="str">
        <f t="shared" si="41"/>
        <v>='X:\BY7xx Shared Management Information\5. BY731 Line_Subs_Final  2018\01 Mike Gaffney\Quality\DPV Into Rattle Road\KW35\[Open Defects into Rattle Test Daily KW35D5.xlsx]BY73X - Assembly (PM)'!$C$6</v>
      </c>
      <c r="S38" s="7" t="str">
        <f t="shared" si="36"/>
        <v>=(SUMPRODUCT(('X:\BY7xx Shared Management Information\5. BY731 Line_Subs_Final  2018\01 Mike Gaffney\Quality\DPV Into Rattle Road\KW35\[Open Defects into Rattle Test Daily KW35D5.xlsx]BY73X - Assembly (PM)'!$I:$I="Paintshop")+0)+SUMPRODUCT(('X:\BY7xx Shared Management Information\5. BY731 Line_Subs_Final  2018\01 Mike Gaffney\Quality\DPV Into Rattle Road\KW35\[Open Defects into Rattle Test Daily KW35D5.xlsx]BY73X - Assembly (PM)'!$I:$I="Paint")+0))/'X:\BY7xx Shared Management Information\5. BY731 Line_Subs_Final  2018\01 Mike Gaffney\Quality\DPV Into Rattle Road\KW35\[Open Defects into Rattle Test Daily KW35D5.xlsx]BY73X - Assembly (PM)'!$C$4</v>
      </c>
      <c r="T38" s="7" t="str">
        <f t="shared" si="37"/>
        <v>=(SUMPRODUCT(('X:\BY7xx Shared Management Information\5. BY731 Line_Subs_Final  2018\01 Mike Gaffney\Quality\DPV Into Rattle Road\KW35\[Open Defects into Rattle Test Daily KW35D5.xlsx]BY73X - Assembly (PM)'!$I:$I="Car Locked")+0))/'X:\BY7xx Shared Management Information\5. BY731 Line_Subs_Final  2018\01 Mike Gaffney\Quality\DPV Into Rattle Road\KW35\[Open Defects into Rattle Test Daily KW35D5.xlsx]BY73X - Assembly (PM)'!$C$4</v>
      </c>
      <c r="U38" s="8" t="e">
        <f t="shared" si="21"/>
        <v>#VALUE!</v>
      </c>
      <c r="V38" t="e">
        <f t="shared" si="22"/>
        <v>#DIV/0!</v>
      </c>
      <c r="W38" t="e">
        <f t="shared" si="23"/>
        <v>#DIV/0!</v>
      </c>
      <c r="X38" t="e">
        <f t="shared" si="24"/>
        <v>#DIV/0!</v>
      </c>
      <c r="Y38" t="e">
        <f t="shared" si="25"/>
        <v>#VALUE!</v>
      </c>
      <c r="Z38" s="3">
        <v>1.57</v>
      </c>
    </row>
    <row r="39" spans="1:26" x14ac:dyDescent="0.2">
      <c r="A39" t="s">
        <v>40</v>
      </c>
      <c r="B39" s="6" t="str">
        <f t="shared" si="38"/>
        <v>='X:\BY7xx Shared Management Information\5. BY731 Line_Subs_Final  2018\01 Mike Gaffney\Quality\DPV Into Rattle Road\KW36\[Open Defects into Rattle Test Daily KW36D1.xlsx]BY73X - Assembly (PM)'!$C$6</v>
      </c>
      <c r="C39" s="7" t="str">
        <f t="shared" si="28"/>
        <v>=(SUMPRODUCT(('X:\BY7xx Shared Management Information\5. BY731 Line_Subs_Final  2018\01 Mike Gaffney\Quality\DPV Into Rattle Road\KW36\[Open Defects into Rattle Test Daily KW36D1.xlsx]BY73X - Assembly (PM)'!$I:$I="Paintshop")+0)+SUMPRODUCT(('X:\BY7xx Shared Management Information\5. BY731 Line_Subs_Final  2018\01 Mike Gaffney\Quality\DPV Into Rattle Road\KW36\[Open Defects into Rattle Test Daily KW36D1.xlsx]BY73X - Assembly (PM)'!$I:$I="Paint")+0))/'X:\BY7xx Shared Management Information\5. BY731 Line_Subs_Final  2018\01 Mike Gaffney\Quality\DPV Into Rattle Road\KW36\[Open Defects into Rattle Test Daily KW36D1.xlsx]BY73X - Assembly (PM)'!$C$4</v>
      </c>
      <c r="D39" s="7" t="str">
        <f t="shared" si="29"/>
        <v>=(SUMPRODUCT(('X:\BY7xx Shared Management Information\5. BY731 Line_Subs_Final  2018\01 Mike Gaffney\Quality\DPV Into Rattle Road\KW36\[Open Defects into Rattle Test Daily KW36D1.xlsx]BY73X - Assembly (PM)'!$I:$I="Car Locked")+0))/'X:\BY7xx Shared Management Information\5. BY731 Line_Subs_Final  2018\01 Mike Gaffney\Quality\DPV Into Rattle Road\KW36\[Open Defects into Rattle Test Daily KW36D1.xlsx]BY73X - Assembly (PM)'!$C$4</v>
      </c>
      <c r="E39" s="8" t="e">
        <f t="shared" si="17"/>
        <v>#VALUE!</v>
      </c>
      <c r="F39" s="6" t="str">
        <f t="shared" si="39"/>
        <v>='X:\BY7xx Shared Management Information\5. BY731 Line_Subs_Final  2018\01 Mike Gaffney\Quality\DPV Into Rattle Road\KW36\[Open Defects into Rattle Test Daily KW36D2.xlsx]BY73X - Assembly (PM)'!$C$6</v>
      </c>
      <c r="G39" s="7" t="str">
        <f t="shared" si="30"/>
        <v>=(SUMPRODUCT(('X:\BY7xx Shared Management Information\5. BY731 Line_Subs_Final  2018\01 Mike Gaffney\Quality\DPV Into Rattle Road\KW36\[Open Defects into Rattle Test Daily KW36D2.xlsx]BY73X - Assembly (PM)'!$I:$I="Paintshop")+0)+SUMPRODUCT(('X:\BY7xx Shared Management Information\5. BY731 Line_Subs_Final  2018\01 Mike Gaffney\Quality\DPV Into Rattle Road\KW36\[Open Defects into Rattle Test Daily KW36D2.xlsx]BY73X - Assembly (PM)'!$I:$I="Paint")+0))/'X:\BY7xx Shared Management Information\5. BY731 Line_Subs_Final  2018\01 Mike Gaffney\Quality\DPV Into Rattle Road\KW36\[Open Defects into Rattle Test Daily KW36D2.xlsx]BY73X - Assembly (PM)'!$C$4</v>
      </c>
      <c r="H39" s="7" t="str">
        <f t="shared" si="31"/>
        <v>=(SUMPRODUCT(('X:\BY7xx Shared Management Information\5. BY731 Line_Subs_Final  2018\01 Mike Gaffney\Quality\DPV Into Rattle Road\KW36\[Open Defects into Rattle Test Daily KW36D2.xlsx]BY73X - Assembly (PM)'!$I:$I="Car Locked")+0))/'X:\BY7xx Shared Management Information\5. BY731 Line_Subs_Final  2018\01 Mike Gaffney\Quality\DPV Into Rattle Road\KW36\[Open Defects into Rattle Test Daily KW36D2.xlsx]BY73X - Assembly (PM)'!$C$4</v>
      </c>
      <c r="I39" s="8" t="e">
        <f t="shared" si="18"/>
        <v>#VALUE!</v>
      </c>
      <c r="J39" s="6" t="str">
        <f t="shared" si="40"/>
        <v>='X:\BY7xx Shared Management Information\5. BY731 Line_Subs_Final  2018\01 Mike Gaffney\Quality\DPV Into Rattle Road\KW36\[Open Defects into Rattle Test Daily KW36D3.xlsx]BY73X - Assembly (PM)'!$C$6</v>
      </c>
      <c r="K39" s="7" t="str">
        <f t="shared" si="32"/>
        <v>=(SUMPRODUCT(('X:\BY7xx Shared Management Information\5. BY731 Line_Subs_Final  2018\01 Mike Gaffney\Quality\DPV Into Rattle Road\KW36\[Open Defects into Rattle Test Daily KW36D3.xlsx]BY73X - Assembly (PM)'!$I:$I="Paintshop")+0)+SUMPRODUCT(('X:\BY7xx Shared Management Information\5. BY731 Line_Subs_Final  2018\01 Mike Gaffney\Quality\DPV Into Rattle Road\KW36\[Open Defects into Rattle Test Daily KW36D3.xlsx]BY73X - Assembly (PM)'!$I:$I="Paint")+0))/'X:\BY7xx Shared Management Information\5. BY731 Line_Subs_Final  2018\01 Mike Gaffney\Quality\DPV Into Rattle Road\KW36\[Open Defects into Rattle Test Daily KW36D3.xlsx]BY73X - Assembly (PM)'!$C$4</v>
      </c>
      <c r="L39" s="7" t="str">
        <f t="shared" si="33"/>
        <v>=(SUMPRODUCT(('X:\BY7xx Shared Management Information\5. BY731 Line_Subs_Final  2018\01 Mike Gaffney\Quality\DPV Into Rattle Road\KW36\[Open Defects into Rattle Test Daily KW36D3.xlsx]BY73X - Assembly (PM)'!$I:$I="Car Locked")+0))/'X:\BY7xx Shared Management Information\5. BY731 Line_Subs_Final  2018\01 Mike Gaffney\Quality\DPV Into Rattle Road\KW36\[Open Defects into Rattle Test Daily KW36D3.xlsx]BY73X - Assembly (PM)'!$C$4</v>
      </c>
      <c r="M39" s="8" t="e">
        <f t="shared" si="19"/>
        <v>#VALUE!</v>
      </c>
      <c r="N39" s="6" t="str">
        <f t="shared" si="41"/>
        <v>='X:\BY7xx Shared Management Information\5. BY731 Line_Subs_Final  2018\01 Mike Gaffney\Quality\DPV Into Rattle Road\KW36\[Open Defects into Rattle Test Daily KW36D4.xlsx]BY73X - Assembly (PM)'!$C$6</v>
      </c>
      <c r="O39" s="7" t="str">
        <f t="shared" si="34"/>
        <v>=(SUMPRODUCT(('X:\BY7xx Shared Management Information\5. BY731 Line_Subs_Final  2018\01 Mike Gaffney\Quality\DPV Into Rattle Road\KW36\[Open Defects into Rattle Test Daily KW36D4.xlsx]BY73X - Assembly (PM)'!$I:$I="Paintshop")+0)+SUMPRODUCT(('X:\BY7xx Shared Management Information\5. BY731 Line_Subs_Final  2018\01 Mike Gaffney\Quality\DPV Into Rattle Road\KW36\[Open Defects into Rattle Test Daily KW36D4.xlsx]BY73X - Assembly (PM)'!$I:$I="Paint")+0))/'X:\BY7xx Shared Management Information\5. BY731 Line_Subs_Final  2018\01 Mike Gaffney\Quality\DPV Into Rattle Road\KW36\[Open Defects into Rattle Test Daily KW36D4.xlsx]BY73X - Assembly (PM)'!$C$4</v>
      </c>
      <c r="P39" s="7" t="str">
        <f t="shared" si="35"/>
        <v>=(SUMPRODUCT(('X:\BY7xx Shared Management Information\5. BY731 Line_Subs_Final  2018\01 Mike Gaffney\Quality\DPV Into Rattle Road\KW36\[Open Defects into Rattle Test Daily KW36D4.xlsx]BY73X - Assembly (PM)'!$I:$I="Car Locked")+0))/'X:\BY7xx Shared Management Information\5. BY731 Line_Subs_Final  2018\01 Mike Gaffney\Quality\DPV Into Rattle Road\KW36\[Open Defects into Rattle Test Daily KW36D4.xlsx]BY73X - Assembly (PM)'!$C$4</v>
      </c>
      <c r="Q39" s="8" t="e">
        <f t="shared" si="20"/>
        <v>#VALUE!</v>
      </c>
      <c r="R39" s="6" t="str">
        <f t="shared" si="41"/>
        <v>='X:\BY7xx Shared Management Information\5. BY731 Line_Subs_Final  2018\01 Mike Gaffney\Quality\DPV Into Rattle Road\KW36\[Open Defects into Rattle Test Daily KW36D5.xlsx]BY73X - Assembly (PM)'!$C$6</v>
      </c>
      <c r="S39" s="7" t="str">
        <f t="shared" si="36"/>
        <v>=(SUMPRODUCT(('X:\BY7xx Shared Management Information\5. BY731 Line_Subs_Final  2018\01 Mike Gaffney\Quality\DPV Into Rattle Road\KW36\[Open Defects into Rattle Test Daily KW36D5.xlsx]BY73X - Assembly (PM)'!$I:$I="Paintshop")+0)+SUMPRODUCT(('X:\BY7xx Shared Management Information\5. BY731 Line_Subs_Final  2018\01 Mike Gaffney\Quality\DPV Into Rattle Road\KW36\[Open Defects into Rattle Test Daily KW36D5.xlsx]BY73X - Assembly (PM)'!$I:$I="Paint")+0))/'X:\BY7xx Shared Management Information\5. BY731 Line_Subs_Final  2018\01 Mike Gaffney\Quality\DPV Into Rattle Road\KW36\[Open Defects into Rattle Test Daily KW36D5.xlsx]BY73X - Assembly (PM)'!$C$4</v>
      </c>
      <c r="T39" s="7" t="str">
        <f t="shared" si="37"/>
        <v>=(SUMPRODUCT(('X:\BY7xx Shared Management Information\5. BY731 Line_Subs_Final  2018\01 Mike Gaffney\Quality\DPV Into Rattle Road\KW36\[Open Defects into Rattle Test Daily KW36D5.xlsx]BY73X - Assembly (PM)'!$I:$I="Car Locked")+0))/'X:\BY7xx Shared Management Information\5. BY731 Line_Subs_Final  2018\01 Mike Gaffney\Quality\DPV Into Rattle Road\KW36\[Open Defects into Rattle Test Daily KW36D5.xlsx]BY73X - Assembly (PM)'!$C$4</v>
      </c>
      <c r="U39" s="8" t="e">
        <f t="shared" si="21"/>
        <v>#VALUE!</v>
      </c>
      <c r="V39" t="e">
        <f t="shared" si="22"/>
        <v>#DIV/0!</v>
      </c>
      <c r="W39" t="e">
        <f t="shared" si="23"/>
        <v>#DIV/0!</v>
      </c>
      <c r="X39" t="e">
        <f t="shared" si="24"/>
        <v>#DIV/0!</v>
      </c>
      <c r="Y39" t="e">
        <f t="shared" si="25"/>
        <v>#VALUE!</v>
      </c>
      <c r="Z39" s="3">
        <v>1.57</v>
      </c>
    </row>
    <row r="40" spans="1:26" x14ac:dyDescent="0.2">
      <c r="A40" t="s">
        <v>41</v>
      </c>
      <c r="B40" s="6" t="str">
        <f t="shared" si="38"/>
        <v>='X:\BY7xx Shared Management Information\5. BY731 Line_Subs_Final  2018\01 Mike Gaffney\Quality\DPV Into Rattle Road\KW37\[Open Defects into Rattle Test Daily KW37D1.xlsx]BY73X - Assembly (PM)'!$C$6</v>
      </c>
      <c r="C40" s="7" t="str">
        <f t="shared" si="28"/>
        <v>=(SUMPRODUCT(('X:\BY7xx Shared Management Information\5. BY731 Line_Subs_Final  2018\01 Mike Gaffney\Quality\DPV Into Rattle Road\KW37\[Open Defects into Rattle Test Daily KW37D1.xlsx]BY73X - Assembly (PM)'!$I:$I="Paintshop")+0)+SUMPRODUCT(('X:\BY7xx Shared Management Information\5. BY731 Line_Subs_Final  2018\01 Mike Gaffney\Quality\DPV Into Rattle Road\KW37\[Open Defects into Rattle Test Daily KW37D1.xlsx]BY73X - Assembly (PM)'!$I:$I="Paint")+0))/'X:\BY7xx Shared Management Information\5. BY731 Line_Subs_Final  2018\01 Mike Gaffney\Quality\DPV Into Rattle Road\KW37\[Open Defects into Rattle Test Daily KW37D1.xlsx]BY73X - Assembly (PM)'!$C$4</v>
      </c>
      <c r="D40" s="7" t="str">
        <f t="shared" si="29"/>
        <v>=(SUMPRODUCT(('X:\BY7xx Shared Management Information\5. BY731 Line_Subs_Final  2018\01 Mike Gaffney\Quality\DPV Into Rattle Road\KW37\[Open Defects into Rattle Test Daily KW37D1.xlsx]BY73X - Assembly (PM)'!$I:$I="Car Locked")+0))/'X:\BY7xx Shared Management Information\5. BY731 Line_Subs_Final  2018\01 Mike Gaffney\Quality\DPV Into Rattle Road\KW37\[Open Defects into Rattle Test Daily KW37D1.xlsx]BY73X - Assembly (PM)'!$C$4</v>
      </c>
      <c r="E40" s="8" t="e">
        <f t="shared" si="17"/>
        <v>#VALUE!</v>
      </c>
      <c r="F40" s="6" t="str">
        <f t="shared" si="39"/>
        <v>='X:\BY7xx Shared Management Information\5. BY731 Line_Subs_Final  2018\01 Mike Gaffney\Quality\DPV Into Rattle Road\KW37\[Open Defects into Rattle Test Daily KW37D2.xlsx]BY73X - Assembly (PM)'!$C$6</v>
      </c>
      <c r="G40" s="7" t="str">
        <f t="shared" si="30"/>
        <v>=(SUMPRODUCT(('X:\BY7xx Shared Management Information\5. BY731 Line_Subs_Final  2018\01 Mike Gaffney\Quality\DPV Into Rattle Road\KW37\[Open Defects into Rattle Test Daily KW37D2.xlsx]BY73X - Assembly (PM)'!$I:$I="Paintshop")+0)+SUMPRODUCT(('X:\BY7xx Shared Management Information\5. BY731 Line_Subs_Final  2018\01 Mike Gaffney\Quality\DPV Into Rattle Road\KW37\[Open Defects into Rattle Test Daily KW37D2.xlsx]BY73X - Assembly (PM)'!$I:$I="Paint")+0))/'X:\BY7xx Shared Management Information\5. BY731 Line_Subs_Final  2018\01 Mike Gaffney\Quality\DPV Into Rattle Road\KW37\[Open Defects into Rattle Test Daily KW37D2.xlsx]BY73X - Assembly (PM)'!$C$4</v>
      </c>
      <c r="H40" s="7" t="str">
        <f t="shared" si="31"/>
        <v>=(SUMPRODUCT(('X:\BY7xx Shared Management Information\5. BY731 Line_Subs_Final  2018\01 Mike Gaffney\Quality\DPV Into Rattle Road\KW37\[Open Defects into Rattle Test Daily KW37D2.xlsx]BY73X - Assembly (PM)'!$I:$I="Car Locked")+0))/'X:\BY7xx Shared Management Information\5. BY731 Line_Subs_Final  2018\01 Mike Gaffney\Quality\DPV Into Rattle Road\KW37\[Open Defects into Rattle Test Daily KW37D2.xlsx]BY73X - Assembly (PM)'!$C$4</v>
      </c>
      <c r="I40" s="8" t="e">
        <f t="shared" si="18"/>
        <v>#VALUE!</v>
      </c>
      <c r="J40" s="6" t="str">
        <f t="shared" si="40"/>
        <v>='X:\BY7xx Shared Management Information\5. BY731 Line_Subs_Final  2018\01 Mike Gaffney\Quality\DPV Into Rattle Road\KW37\[Open Defects into Rattle Test Daily KW37D3.xlsx]BY73X - Assembly (PM)'!$C$6</v>
      </c>
      <c r="K40" s="7" t="str">
        <f t="shared" si="32"/>
        <v>=(SUMPRODUCT(('X:\BY7xx Shared Management Information\5. BY731 Line_Subs_Final  2018\01 Mike Gaffney\Quality\DPV Into Rattle Road\KW37\[Open Defects into Rattle Test Daily KW37D3.xlsx]BY73X - Assembly (PM)'!$I:$I="Paintshop")+0)+SUMPRODUCT(('X:\BY7xx Shared Management Information\5. BY731 Line_Subs_Final  2018\01 Mike Gaffney\Quality\DPV Into Rattle Road\KW37\[Open Defects into Rattle Test Daily KW37D3.xlsx]BY73X - Assembly (PM)'!$I:$I="Paint")+0))/'X:\BY7xx Shared Management Information\5. BY731 Line_Subs_Final  2018\01 Mike Gaffney\Quality\DPV Into Rattle Road\KW37\[Open Defects into Rattle Test Daily KW37D3.xlsx]BY73X - Assembly (PM)'!$C$4</v>
      </c>
      <c r="L40" s="7" t="str">
        <f t="shared" si="33"/>
        <v>=(SUMPRODUCT(('X:\BY7xx Shared Management Information\5. BY731 Line_Subs_Final  2018\01 Mike Gaffney\Quality\DPV Into Rattle Road\KW37\[Open Defects into Rattle Test Daily KW37D3.xlsx]BY73X - Assembly (PM)'!$I:$I="Car Locked")+0))/'X:\BY7xx Shared Management Information\5. BY731 Line_Subs_Final  2018\01 Mike Gaffney\Quality\DPV Into Rattle Road\KW37\[Open Defects into Rattle Test Daily KW37D3.xlsx]BY73X - Assembly (PM)'!$C$4</v>
      </c>
      <c r="M40" s="8" t="e">
        <f t="shared" si="19"/>
        <v>#VALUE!</v>
      </c>
      <c r="N40" s="6" t="str">
        <f t="shared" si="41"/>
        <v>='X:\BY7xx Shared Management Information\5. BY731 Line_Subs_Final  2018\01 Mike Gaffney\Quality\DPV Into Rattle Road\KW37\[Open Defects into Rattle Test Daily KW37D4.xlsx]BY73X - Assembly (PM)'!$C$6</v>
      </c>
      <c r="O40" s="7" t="str">
        <f t="shared" si="34"/>
        <v>=(SUMPRODUCT(('X:\BY7xx Shared Management Information\5. BY731 Line_Subs_Final  2018\01 Mike Gaffney\Quality\DPV Into Rattle Road\KW37\[Open Defects into Rattle Test Daily KW37D4.xlsx]BY73X - Assembly (PM)'!$I:$I="Paintshop")+0)+SUMPRODUCT(('X:\BY7xx Shared Management Information\5. BY731 Line_Subs_Final  2018\01 Mike Gaffney\Quality\DPV Into Rattle Road\KW37\[Open Defects into Rattle Test Daily KW37D4.xlsx]BY73X - Assembly (PM)'!$I:$I="Paint")+0))/'X:\BY7xx Shared Management Information\5. BY731 Line_Subs_Final  2018\01 Mike Gaffney\Quality\DPV Into Rattle Road\KW37\[Open Defects into Rattle Test Daily KW37D4.xlsx]BY73X - Assembly (PM)'!$C$4</v>
      </c>
      <c r="P40" s="7" t="str">
        <f t="shared" si="35"/>
        <v>=(SUMPRODUCT(('X:\BY7xx Shared Management Information\5. BY731 Line_Subs_Final  2018\01 Mike Gaffney\Quality\DPV Into Rattle Road\KW37\[Open Defects into Rattle Test Daily KW37D4.xlsx]BY73X - Assembly (PM)'!$I:$I="Car Locked")+0))/'X:\BY7xx Shared Management Information\5. BY731 Line_Subs_Final  2018\01 Mike Gaffney\Quality\DPV Into Rattle Road\KW37\[Open Defects into Rattle Test Daily KW37D4.xlsx]BY73X - Assembly (PM)'!$C$4</v>
      </c>
      <c r="Q40" s="8" t="e">
        <f t="shared" si="20"/>
        <v>#VALUE!</v>
      </c>
      <c r="R40" s="6" t="str">
        <f t="shared" si="41"/>
        <v>='X:\BY7xx Shared Management Information\5. BY731 Line_Subs_Final  2018\01 Mike Gaffney\Quality\DPV Into Rattle Road\KW37\[Open Defects into Rattle Test Daily KW37D5.xlsx]BY73X - Assembly (PM)'!$C$6</v>
      </c>
      <c r="S40" s="7" t="str">
        <f t="shared" si="36"/>
        <v>=(SUMPRODUCT(('X:\BY7xx Shared Management Information\5. BY731 Line_Subs_Final  2018\01 Mike Gaffney\Quality\DPV Into Rattle Road\KW37\[Open Defects into Rattle Test Daily KW37D5.xlsx]BY73X - Assembly (PM)'!$I:$I="Paintshop")+0)+SUMPRODUCT(('X:\BY7xx Shared Management Information\5. BY731 Line_Subs_Final  2018\01 Mike Gaffney\Quality\DPV Into Rattle Road\KW37\[Open Defects into Rattle Test Daily KW37D5.xlsx]BY73X - Assembly (PM)'!$I:$I="Paint")+0))/'X:\BY7xx Shared Management Information\5. BY731 Line_Subs_Final  2018\01 Mike Gaffney\Quality\DPV Into Rattle Road\KW37\[Open Defects into Rattle Test Daily KW37D5.xlsx]BY73X - Assembly (PM)'!$C$4</v>
      </c>
      <c r="T40" s="7" t="str">
        <f t="shared" si="37"/>
        <v>=(SUMPRODUCT(('X:\BY7xx Shared Management Information\5. BY731 Line_Subs_Final  2018\01 Mike Gaffney\Quality\DPV Into Rattle Road\KW37\[Open Defects into Rattle Test Daily KW37D5.xlsx]BY73X - Assembly (PM)'!$I:$I="Car Locked")+0))/'X:\BY7xx Shared Management Information\5. BY731 Line_Subs_Final  2018\01 Mike Gaffney\Quality\DPV Into Rattle Road\KW37\[Open Defects into Rattle Test Daily KW37D5.xlsx]BY73X - Assembly (PM)'!$C$4</v>
      </c>
      <c r="U40" s="8" t="e">
        <f t="shared" si="21"/>
        <v>#VALUE!</v>
      </c>
      <c r="V40" t="e">
        <f t="shared" si="22"/>
        <v>#DIV/0!</v>
      </c>
      <c r="W40" t="e">
        <f t="shared" si="23"/>
        <v>#DIV/0!</v>
      </c>
      <c r="X40" t="e">
        <f t="shared" si="24"/>
        <v>#DIV/0!</v>
      </c>
      <c r="Y40" t="e">
        <f t="shared" si="25"/>
        <v>#VALUE!</v>
      </c>
      <c r="Z40" s="3">
        <v>1.57</v>
      </c>
    </row>
    <row r="41" spans="1:26" x14ac:dyDescent="0.2">
      <c r="A41" t="s">
        <v>42</v>
      </c>
      <c r="B41" s="6" t="str">
        <f t="shared" si="38"/>
        <v>='X:\BY7xx Shared Management Information\5. BY731 Line_Subs_Final  2018\01 Mike Gaffney\Quality\DPV Into Rattle Road\KW38\[Open Defects into Rattle Test Daily KW38D1.xlsx]BY73X - Assembly (PM)'!$C$6</v>
      </c>
      <c r="C41" s="7" t="str">
        <f t="shared" si="28"/>
        <v>=(SUMPRODUCT(('X:\BY7xx Shared Management Information\5. BY731 Line_Subs_Final  2018\01 Mike Gaffney\Quality\DPV Into Rattle Road\KW38\[Open Defects into Rattle Test Daily KW38D1.xlsx]BY73X - Assembly (PM)'!$I:$I="Paintshop")+0)+SUMPRODUCT(('X:\BY7xx Shared Management Information\5. BY731 Line_Subs_Final  2018\01 Mike Gaffney\Quality\DPV Into Rattle Road\KW38\[Open Defects into Rattle Test Daily KW38D1.xlsx]BY73X - Assembly (PM)'!$I:$I="Paint")+0))/'X:\BY7xx Shared Management Information\5. BY731 Line_Subs_Final  2018\01 Mike Gaffney\Quality\DPV Into Rattle Road\KW38\[Open Defects into Rattle Test Daily KW38D1.xlsx]BY73X - Assembly (PM)'!$C$4</v>
      </c>
      <c r="D41" s="7" t="str">
        <f t="shared" si="29"/>
        <v>=(SUMPRODUCT(('X:\BY7xx Shared Management Information\5. BY731 Line_Subs_Final  2018\01 Mike Gaffney\Quality\DPV Into Rattle Road\KW38\[Open Defects into Rattle Test Daily KW38D1.xlsx]BY73X - Assembly (PM)'!$I:$I="Car Locked")+0))/'X:\BY7xx Shared Management Information\5. BY731 Line_Subs_Final  2018\01 Mike Gaffney\Quality\DPV Into Rattle Road\KW38\[Open Defects into Rattle Test Daily KW38D1.xlsx]BY73X - Assembly (PM)'!$C$4</v>
      </c>
      <c r="E41" s="8" t="e">
        <f t="shared" si="17"/>
        <v>#VALUE!</v>
      </c>
      <c r="F41" s="6" t="str">
        <f t="shared" si="39"/>
        <v>='X:\BY7xx Shared Management Information\5. BY731 Line_Subs_Final  2018\01 Mike Gaffney\Quality\DPV Into Rattle Road\KW38\[Open Defects into Rattle Test Daily KW38D2.xlsx]BY73X - Assembly (PM)'!$C$6</v>
      </c>
      <c r="G41" s="7" t="str">
        <f t="shared" si="30"/>
        <v>=(SUMPRODUCT(('X:\BY7xx Shared Management Information\5. BY731 Line_Subs_Final  2018\01 Mike Gaffney\Quality\DPV Into Rattle Road\KW38\[Open Defects into Rattle Test Daily KW38D2.xlsx]BY73X - Assembly (PM)'!$I:$I="Paintshop")+0)+SUMPRODUCT(('X:\BY7xx Shared Management Information\5. BY731 Line_Subs_Final  2018\01 Mike Gaffney\Quality\DPV Into Rattle Road\KW38\[Open Defects into Rattle Test Daily KW38D2.xlsx]BY73X - Assembly (PM)'!$I:$I="Paint")+0))/'X:\BY7xx Shared Management Information\5. BY731 Line_Subs_Final  2018\01 Mike Gaffney\Quality\DPV Into Rattle Road\KW38\[Open Defects into Rattle Test Daily KW38D2.xlsx]BY73X - Assembly (PM)'!$C$4</v>
      </c>
      <c r="H41" s="7" t="str">
        <f t="shared" si="31"/>
        <v>=(SUMPRODUCT(('X:\BY7xx Shared Management Information\5. BY731 Line_Subs_Final  2018\01 Mike Gaffney\Quality\DPV Into Rattle Road\KW38\[Open Defects into Rattle Test Daily KW38D2.xlsx]BY73X - Assembly (PM)'!$I:$I="Car Locked")+0))/'X:\BY7xx Shared Management Information\5. BY731 Line_Subs_Final  2018\01 Mike Gaffney\Quality\DPV Into Rattle Road\KW38\[Open Defects into Rattle Test Daily KW38D2.xlsx]BY73X - Assembly (PM)'!$C$4</v>
      </c>
      <c r="I41" s="8" t="e">
        <f t="shared" si="18"/>
        <v>#VALUE!</v>
      </c>
      <c r="J41" s="6" t="str">
        <f t="shared" si="40"/>
        <v>='X:\BY7xx Shared Management Information\5. BY731 Line_Subs_Final  2018\01 Mike Gaffney\Quality\DPV Into Rattle Road\KW38\[Open Defects into Rattle Test Daily KW38D3.xlsx]BY73X - Assembly (PM)'!$C$6</v>
      </c>
      <c r="K41" s="7" t="str">
        <f t="shared" si="32"/>
        <v>=(SUMPRODUCT(('X:\BY7xx Shared Management Information\5. BY731 Line_Subs_Final  2018\01 Mike Gaffney\Quality\DPV Into Rattle Road\KW38\[Open Defects into Rattle Test Daily KW38D3.xlsx]BY73X - Assembly (PM)'!$I:$I="Paintshop")+0)+SUMPRODUCT(('X:\BY7xx Shared Management Information\5. BY731 Line_Subs_Final  2018\01 Mike Gaffney\Quality\DPV Into Rattle Road\KW38\[Open Defects into Rattle Test Daily KW38D3.xlsx]BY73X - Assembly (PM)'!$I:$I="Paint")+0))/'X:\BY7xx Shared Management Information\5. BY731 Line_Subs_Final  2018\01 Mike Gaffney\Quality\DPV Into Rattle Road\KW38\[Open Defects into Rattle Test Daily KW38D3.xlsx]BY73X - Assembly (PM)'!$C$4</v>
      </c>
      <c r="L41" s="7" t="str">
        <f t="shared" si="33"/>
        <v>=(SUMPRODUCT(('X:\BY7xx Shared Management Information\5. BY731 Line_Subs_Final  2018\01 Mike Gaffney\Quality\DPV Into Rattle Road\KW38\[Open Defects into Rattle Test Daily KW38D3.xlsx]BY73X - Assembly (PM)'!$I:$I="Car Locked")+0))/'X:\BY7xx Shared Management Information\5. BY731 Line_Subs_Final  2018\01 Mike Gaffney\Quality\DPV Into Rattle Road\KW38\[Open Defects into Rattle Test Daily KW38D3.xlsx]BY73X - Assembly (PM)'!$C$4</v>
      </c>
      <c r="M41" s="8" t="e">
        <f t="shared" si="19"/>
        <v>#VALUE!</v>
      </c>
      <c r="N41" s="6" t="str">
        <f t="shared" si="41"/>
        <v>='X:\BY7xx Shared Management Information\5. BY731 Line_Subs_Final  2018\01 Mike Gaffney\Quality\DPV Into Rattle Road\KW38\[Open Defects into Rattle Test Daily KW38D4.xlsx]BY73X - Assembly (PM)'!$C$6</v>
      </c>
      <c r="O41" s="7" t="str">
        <f t="shared" si="34"/>
        <v>=(SUMPRODUCT(('X:\BY7xx Shared Management Information\5. BY731 Line_Subs_Final  2018\01 Mike Gaffney\Quality\DPV Into Rattle Road\KW38\[Open Defects into Rattle Test Daily KW38D4.xlsx]BY73X - Assembly (PM)'!$I:$I="Paintshop")+0)+SUMPRODUCT(('X:\BY7xx Shared Management Information\5. BY731 Line_Subs_Final  2018\01 Mike Gaffney\Quality\DPV Into Rattle Road\KW38\[Open Defects into Rattle Test Daily KW38D4.xlsx]BY73X - Assembly (PM)'!$I:$I="Paint")+0))/'X:\BY7xx Shared Management Information\5. BY731 Line_Subs_Final  2018\01 Mike Gaffney\Quality\DPV Into Rattle Road\KW38\[Open Defects into Rattle Test Daily KW38D4.xlsx]BY73X - Assembly (PM)'!$C$4</v>
      </c>
      <c r="P41" s="7" t="str">
        <f t="shared" si="35"/>
        <v>=(SUMPRODUCT(('X:\BY7xx Shared Management Information\5. BY731 Line_Subs_Final  2018\01 Mike Gaffney\Quality\DPV Into Rattle Road\KW38\[Open Defects into Rattle Test Daily KW38D4.xlsx]BY73X - Assembly (PM)'!$I:$I="Car Locked")+0))/'X:\BY7xx Shared Management Information\5. BY731 Line_Subs_Final  2018\01 Mike Gaffney\Quality\DPV Into Rattle Road\KW38\[Open Defects into Rattle Test Daily KW38D4.xlsx]BY73X - Assembly (PM)'!$C$4</v>
      </c>
      <c r="Q41" s="8" t="e">
        <f t="shared" si="20"/>
        <v>#VALUE!</v>
      </c>
      <c r="R41" s="6" t="str">
        <f t="shared" si="41"/>
        <v>='X:\BY7xx Shared Management Information\5. BY731 Line_Subs_Final  2018\01 Mike Gaffney\Quality\DPV Into Rattle Road\KW38\[Open Defects into Rattle Test Daily KW38D5.xlsx]BY73X - Assembly (PM)'!$C$6</v>
      </c>
      <c r="S41" s="7" t="str">
        <f t="shared" si="36"/>
        <v>=(SUMPRODUCT(('X:\BY7xx Shared Management Information\5. BY731 Line_Subs_Final  2018\01 Mike Gaffney\Quality\DPV Into Rattle Road\KW38\[Open Defects into Rattle Test Daily KW38D5.xlsx]BY73X - Assembly (PM)'!$I:$I="Paintshop")+0)+SUMPRODUCT(('X:\BY7xx Shared Management Information\5. BY731 Line_Subs_Final  2018\01 Mike Gaffney\Quality\DPV Into Rattle Road\KW38\[Open Defects into Rattle Test Daily KW38D5.xlsx]BY73X - Assembly (PM)'!$I:$I="Paint")+0))/'X:\BY7xx Shared Management Information\5. BY731 Line_Subs_Final  2018\01 Mike Gaffney\Quality\DPV Into Rattle Road\KW38\[Open Defects into Rattle Test Daily KW38D5.xlsx]BY73X - Assembly (PM)'!$C$4</v>
      </c>
      <c r="T41" s="7" t="str">
        <f t="shared" si="37"/>
        <v>=(SUMPRODUCT(('X:\BY7xx Shared Management Information\5. BY731 Line_Subs_Final  2018\01 Mike Gaffney\Quality\DPV Into Rattle Road\KW38\[Open Defects into Rattle Test Daily KW38D5.xlsx]BY73X - Assembly (PM)'!$I:$I="Car Locked")+0))/'X:\BY7xx Shared Management Information\5. BY731 Line_Subs_Final  2018\01 Mike Gaffney\Quality\DPV Into Rattle Road\KW38\[Open Defects into Rattle Test Daily KW38D5.xlsx]BY73X - Assembly (PM)'!$C$4</v>
      </c>
      <c r="U41" s="8" t="e">
        <f t="shared" si="21"/>
        <v>#VALUE!</v>
      </c>
      <c r="V41" t="e">
        <f t="shared" si="22"/>
        <v>#DIV/0!</v>
      </c>
      <c r="W41" t="e">
        <f t="shared" si="23"/>
        <v>#DIV/0!</v>
      </c>
      <c r="X41" t="e">
        <f t="shared" si="24"/>
        <v>#DIV/0!</v>
      </c>
      <c r="Y41" t="e">
        <f t="shared" si="25"/>
        <v>#VALUE!</v>
      </c>
      <c r="Z41" s="3">
        <v>1.57</v>
      </c>
    </row>
    <row r="42" spans="1:26" x14ac:dyDescent="0.2">
      <c r="A42" t="s">
        <v>43</v>
      </c>
      <c r="B42" s="6" t="str">
        <f t="shared" si="38"/>
        <v>='X:\BY7xx Shared Management Information\5. BY731 Line_Subs_Final  2018\01 Mike Gaffney\Quality\DPV Into Rattle Road\KW39\[Open Defects into Rattle Test Daily KW39D1.xlsx]BY73X - Assembly (PM)'!$C$6</v>
      </c>
      <c r="C42" s="7" t="str">
        <f t="shared" si="28"/>
        <v>=(SUMPRODUCT(('X:\BY7xx Shared Management Information\5. BY731 Line_Subs_Final  2018\01 Mike Gaffney\Quality\DPV Into Rattle Road\KW39\[Open Defects into Rattle Test Daily KW39D1.xlsx]BY73X - Assembly (PM)'!$I:$I="Paintshop")+0)+SUMPRODUCT(('X:\BY7xx Shared Management Information\5. BY731 Line_Subs_Final  2018\01 Mike Gaffney\Quality\DPV Into Rattle Road\KW39\[Open Defects into Rattle Test Daily KW39D1.xlsx]BY73X - Assembly (PM)'!$I:$I="Paint")+0))/'X:\BY7xx Shared Management Information\5. BY731 Line_Subs_Final  2018\01 Mike Gaffney\Quality\DPV Into Rattle Road\KW39\[Open Defects into Rattle Test Daily KW39D1.xlsx]BY73X - Assembly (PM)'!$C$4</v>
      </c>
      <c r="D42" s="7" t="str">
        <f t="shared" si="29"/>
        <v>=(SUMPRODUCT(('X:\BY7xx Shared Management Information\5. BY731 Line_Subs_Final  2018\01 Mike Gaffney\Quality\DPV Into Rattle Road\KW39\[Open Defects into Rattle Test Daily KW39D1.xlsx]BY73X - Assembly (PM)'!$I:$I="Car Locked")+0))/'X:\BY7xx Shared Management Information\5. BY731 Line_Subs_Final  2018\01 Mike Gaffney\Quality\DPV Into Rattle Road\KW39\[Open Defects into Rattle Test Daily KW39D1.xlsx]BY73X - Assembly (PM)'!$C$4</v>
      </c>
      <c r="E42" s="8" t="e">
        <f t="shared" si="17"/>
        <v>#VALUE!</v>
      </c>
      <c r="F42" s="6" t="str">
        <f t="shared" si="39"/>
        <v>='X:\BY7xx Shared Management Information\5. BY731 Line_Subs_Final  2018\01 Mike Gaffney\Quality\DPV Into Rattle Road\KW39\[Open Defects into Rattle Test Daily KW39D2.xlsx]BY73X - Assembly (PM)'!$C$6</v>
      </c>
      <c r="G42" s="7" t="str">
        <f t="shared" si="30"/>
        <v>=(SUMPRODUCT(('X:\BY7xx Shared Management Information\5. BY731 Line_Subs_Final  2018\01 Mike Gaffney\Quality\DPV Into Rattle Road\KW39\[Open Defects into Rattle Test Daily KW39D2.xlsx]BY73X - Assembly (PM)'!$I:$I="Paintshop")+0)+SUMPRODUCT(('X:\BY7xx Shared Management Information\5. BY731 Line_Subs_Final  2018\01 Mike Gaffney\Quality\DPV Into Rattle Road\KW39\[Open Defects into Rattle Test Daily KW39D2.xlsx]BY73X - Assembly (PM)'!$I:$I="Paint")+0))/'X:\BY7xx Shared Management Information\5. BY731 Line_Subs_Final  2018\01 Mike Gaffney\Quality\DPV Into Rattle Road\KW39\[Open Defects into Rattle Test Daily KW39D2.xlsx]BY73X - Assembly (PM)'!$C$4</v>
      </c>
      <c r="H42" s="7" t="str">
        <f t="shared" si="31"/>
        <v>=(SUMPRODUCT(('X:\BY7xx Shared Management Information\5. BY731 Line_Subs_Final  2018\01 Mike Gaffney\Quality\DPV Into Rattle Road\KW39\[Open Defects into Rattle Test Daily KW39D2.xlsx]BY73X - Assembly (PM)'!$I:$I="Car Locked")+0))/'X:\BY7xx Shared Management Information\5. BY731 Line_Subs_Final  2018\01 Mike Gaffney\Quality\DPV Into Rattle Road\KW39\[Open Defects into Rattle Test Daily KW39D2.xlsx]BY73X - Assembly (PM)'!$C$4</v>
      </c>
      <c r="I42" s="8" t="e">
        <f t="shared" si="18"/>
        <v>#VALUE!</v>
      </c>
      <c r="J42" s="6" t="str">
        <f t="shared" si="40"/>
        <v>='X:\BY7xx Shared Management Information\5. BY731 Line_Subs_Final  2018\01 Mike Gaffney\Quality\DPV Into Rattle Road\KW39\[Open Defects into Rattle Test Daily KW39D3.xlsx]BY73X - Assembly (PM)'!$C$6</v>
      </c>
      <c r="K42" s="7" t="str">
        <f t="shared" si="32"/>
        <v>=(SUMPRODUCT(('X:\BY7xx Shared Management Information\5. BY731 Line_Subs_Final  2018\01 Mike Gaffney\Quality\DPV Into Rattle Road\KW39\[Open Defects into Rattle Test Daily KW39D3.xlsx]BY73X - Assembly (PM)'!$I:$I="Paintshop")+0)+SUMPRODUCT(('X:\BY7xx Shared Management Information\5. BY731 Line_Subs_Final  2018\01 Mike Gaffney\Quality\DPV Into Rattle Road\KW39\[Open Defects into Rattle Test Daily KW39D3.xlsx]BY73X - Assembly (PM)'!$I:$I="Paint")+0))/'X:\BY7xx Shared Management Information\5. BY731 Line_Subs_Final  2018\01 Mike Gaffney\Quality\DPV Into Rattle Road\KW39\[Open Defects into Rattle Test Daily KW39D3.xlsx]BY73X - Assembly (PM)'!$C$4</v>
      </c>
      <c r="L42" s="7" t="str">
        <f t="shared" si="33"/>
        <v>=(SUMPRODUCT(('X:\BY7xx Shared Management Information\5. BY731 Line_Subs_Final  2018\01 Mike Gaffney\Quality\DPV Into Rattle Road\KW39\[Open Defects into Rattle Test Daily KW39D3.xlsx]BY73X - Assembly (PM)'!$I:$I="Car Locked")+0))/'X:\BY7xx Shared Management Information\5. BY731 Line_Subs_Final  2018\01 Mike Gaffney\Quality\DPV Into Rattle Road\KW39\[Open Defects into Rattle Test Daily KW39D3.xlsx]BY73X - Assembly (PM)'!$C$4</v>
      </c>
      <c r="M42" s="8" t="e">
        <f t="shared" si="19"/>
        <v>#VALUE!</v>
      </c>
      <c r="N42" s="6" t="str">
        <f t="shared" si="41"/>
        <v>='X:\BY7xx Shared Management Information\5. BY731 Line_Subs_Final  2018\01 Mike Gaffney\Quality\DPV Into Rattle Road\KW39\[Open Defects into Rattle Test Daily KW39D4.xlsx]BY73X - Assembly (PM)'!$C$6</v>
      </c>
      <c r="O42" s="7" t="str">
        <f t="shared" si="34"/>
        <v>=(SUMPRODUCT(('X:\BY7xx Shared Management Information\5. BY731 Line_Subs_Final  2018\01 Mike Gaffney\Quality\DPV Into Rattle Road\KW39\[Open Defects into Rattle Test Daily KW39D4.xlsx]BY73X - Assembly (PM)'!$I:$I="Paintshop")+0)+SUMPRODUCT(('X:\BY7xx Shared Management Information\5. BY731 Line_Subs_Final  2018\01 Mike Gaffney\Quality\DPV Into Rattle Road\KW39\[Open Defects into Rattle Test Daily KW39D4.xlsx]BY73X - Assembly (PM)'!$I:$I="Paint")+0))/'X:\BY7xx Shared Management Information\5. BY731 Line_Subs_Final  2018\01 Mike Gaffney\Quality\DPV Into Rattle Road\KW39\[Open Defects into Rattle Test Daily KW39D4.xlsx]BY73X - Assembly (PM)'!$C$4</v>
      </c>
      <c r="P42" s="7" t="str">
        <f t="shared" si="35"/>
        <v>=(SUMPRODUCT(('X:\BY7xx Shared Management Information\5. BY731 Line_Subs_Final  2018\01 Mike Gaffney\Quality\DPV Into Rattle Road\KW39\[Open Defects into Rattle Test Daily KW39D4.xlsx]BY73X - Assembly (PM)'!$I:$I="Car Locked")+0))/'X:\BY7xx Shared Management Information\5. BY731 Line_Subs_Final  2018\01 Mike Gaffney\Quality\DPV Into Rattle Road\KW39\[Open Defects into Rattle Test Daily KW39D4.xlsx]BY73X - Assembly (PM)'!$C$4</v>
      </c>
      <c r="Q42" s="8" t="e">
        <f t="shared" si="20"/>
        <v>#VALUE!</v>
      </c>
      <c r="R42" s="6" t="str">
        <f t="shared" si="41"/>
        <v>='X:\BY7xx Shared Management Information\5. BY731 Line_Subs_Final  2018\01 Mike Gaffney\Quality\DPV Into Rattle Road\KW39\[Open Defects into Rattle Test Daily KW39D5.xlsx]BY73X - Assembly (PM)'!$C$6</v>
      </c>
      <c r="S42" s="7" t="str">
        <f t="shared" si="36"/>
        <v>=(SUMPRODUCT(('X:\BY7xx Shared Management Information\5. BY731 Line_Subs_Final  2018\01 Mike Gaffney\Quality\DPV Into Rattle Road\KW39\[Open Defects into Rattle Test Daily KW39D5.xlsx]BY73X - Assembly (PM)'!$I:$I="Paintshop")+0)+SUMPRODUCT(('X:\BY7xx Shared Management Information\5. BY731 Line_Subs_Final  2018\01 Mike Gaffney\Quality\DPV Into Rattle Road\KW39\[Open Defects into Rattle Test Daily KW39D5.xlsx]BY73X - Assembly (PM)'!$I:$I="Paint")+0))/'X:\BY7xx Shared Management Information\5. BY731 Line_Subs_Final  2018\01 Mike Gaffney\Quality\DPV Into Rattle Road\KW39\[Open Defects into Rattle Test Daily KW39D5.xlsx]BY73X - Assembly (PM)'!$C$4</v>
      </c>
      <c r="T42" s="7" t="str">
        <f t="shared" si="37"/>
        <v>=(SUMPRODUCT(('X:\BY7xx Shared Management Information\5. BY731 Line_Subs_Final  2018\01 Mike Gaffney\Quality\DPV Into Rattle Road\KW39\[Open Defects into Rattle Test Daily KW39D5.xlsx]BY73X - Assembly (PM)'!$I:$I="Car Locked")+0))/'X:\BY7xx Shared Management Information\5. BY731 Line_Subs_Final  2018\01 Mike Gaffney\Quality\DPV Into Rattle Road\KW39\[Open Defects into Rattle Test Daily KW39D5.xlsx]BY73X - Assembly (PM)'!$C$4</v>
      </c>
      <c r="U42" s="8" t="e">
        <f t="shared" si="21"/>
        <v>#VALUE!</v>
      </c>
      <c r="V42" t="e">
        <f t="shared" si="22"/>
        <v>#DIV/0!</v>
      </c>
      <c r="W42" t="e">
        <f t="shared" si="23"/>
        <v>#DIV/0!</v>
      </c>
      <c r="X42" t="e">
        <f t="shared" si="24"/>
        <v>#DIV/0!</v>
      </c>
      <c r="Y42" t="e">
        <f t="shared" si="25"/>
        <v>#VALUE!</v>
      </c>
      <c r="Z42" s="3">
        <v>1.57</v>
      </c>
    </row>
    <row r="43" spans="1:26" x14ac:dyDescent="0.2">
      <c r="A43" t="s">
        <v>44</v>
      </c>
      <c r="B43" s="6" t="str">
        <f t="shared" si="38"/>
        <v>='X:\BY7xx Shared Management Information\5. BY731 Line_Subs_Final  2018\01 Mike Gaffney\Quality\DPV Into Rattle Road\KW40\[Open Defects into Rattle Test Daily KW40D1.xlsx]BY73X - Assembly (PM)'!$C$6</v>
      </c>
      <c r="C43" s="7" t="str">
        <f t="shared" si="28"/>
        <v>=(SUMPRODUCT(('X:\BY7xx Shared Management Information\5. BY731 Line_Subs_Final  2018\01 Mike Gaffney\Quality\DPV Into Rattle Road\KW40\[Open Defects into Rattle Test Daily KW40D1.xlsx]BY73X - Assembly (PM)'!$I:$I="Paintshop")+0)+SUMPRODUCT(('X:\BY7xx Shared Management Information\5. BY731 Line_Subs_Final  2018\01 Mike Gaffney\Quality\DPV Into Rattle Road\KW40\[Open Defects into Rattle Test Daily KW40D1.xlsx]BY73X - Assembly (PM)'!$I:$I="Paint")+0))/'X:\BY7xx Shared Management Information\5. BY731 Line_Subs_Final  2018\01 Mike Gaffney\Quality\DPV Into Rattle Road\KW40\[Open Defects into Rattle Test Daily KW40D1.xlsx]BY73X - Assembly (PM)'!$C$4</v>
      </c>
      <c r="D43" s="7" t="str">
        <f t="shared" si="29"/>
        <v>=(SUMPRODUCT(('X:\BY7xx Shared Management Information\5. BY731 Line_Subs_Final  2018\01 Mike Gaffney\Quality\DPV Into Rattle Road\KW40\[Open Defects into Rattle Test Daily KW40D1.xlsx]BY73X - Assembly (PM)'!$I:$I="Car Locked")+0))/'X:\BY7xx Shared Management Information\5. BY731 Line_Subs_Final  2018\01 Mike Gaffney\Quality\DPV Into Rattle Road\KW40\[Open Defects into Rattle Test Daily KW40D1.xlsx]BY73X - Assembly (PM)'!$C$4</v>
      </c>
      <c r="E43" s="8" t="e">
        <f t="shared" si="17"/>
        <v>#VALUE!</v>
      </c>
      <c r="F43" s="6" t="str">
        <f t="shared" si="39"/>
        <v>='X:\BY7xx Shared Management Information\5. BY731 Line_Subs_Final  2018\01 Mike Gaffney\Quality\DPV Into Rattle Road\KW40\[Open Defects into Rattle Test Daily KW40D2.xlsx]BY73X - Assembly (PM)'!$C$6</v>
      </c>
      <c r="G43" s="7" t="str">
        <f t="shared" si="30"/>
        <v>=(SUMPRODUCT(('X:\BY7xx Shared Management Information\5. BY731 Line_Subs_Final  2018\01 Mike Gaffney\Quality\DPV Into Rattle Road\KW40\[Open Defects into Rattle Test Daily KW40D2.xlsx]BY73X - Assembly (PM)'!$I:$I="Paintshop")+0)+SUMPRODUCT(('X:\BY7xx Shared Management Information\5. BY731 Line_Subs_Final  2018\01 Mike Gaffney\Quality\DPV Into Rattle Road\KW40\[Open Defects into Rattle Test Daily KW40D2.xlsx]BY73X - Assembly (PM)'!$I:$I="Paint")+0))/'X:\BY7xx Shared Management Information\5. BY731 Line_Subs_Final  2018\01 Mike Gaffney\Quality\DPV Into Rattle Road\KW40\[Open Defects into Rattle Test Daily KW40D2.xlsx]BY73X - Assembly (PM)'!$C$4</v>
      </c>
      <c r="H43" s="7" t="str">
        <f t="shared" si="31"/>
        <v>=(SUMPRODUCT(('X:\BY7xx Shared Management Information\5. BY731 Line_Subs_Final  2018\01 Mike Gaffney\Quality\DPV Into Rattle Road\KW40\[Open Defects into Rattle Test Daily KW40D2.xlsx]BY73X - Assembly (PM)'!$I:$I="Car Locked")+0))/'X:\BY7xx Shared Management Information\5. BY731 Line_Subs_Final  2018\01 Mike Gaffney\Quality\DPV Into Rattle Road\KW40\[Open Defects into Rattle Test Daily KW40D2.xlsx]BY73X - Assembly (PM)'!$C$4</v>
      </c>
      <c r="I43" s="8" t="e">
        <f t="shared" si="18"/>
        <v>#VALUE!</v>
      </c>
      <c r="J43" s="6" t="str">
        <f t="shared" si="40"/>
        <v>='X:\BY7xx Shared Management Information\5. BY731 Line_Subs_Final  2018\01 Mike Gaffney\Quality\DPV Into Rattle Road\KW40\[Open Defects into Rattle Test Daily KW40D3.xlsx]BY73X - Assembly (PM)'!$C$6</v>
      </c>
      <c r="K43" s="7" t="str">
        <f t="shared" si="32"/>
        <v>=(SUMPRODUCT(('X:\BY7xx Shared Management Information\5. BY731 Line_Subs_Final  2018\01 Mike Gaffney\Quality\DPV Into Rattle Road\KW40\[Open Defects into Rattle Test Daily KW40D3.xlsx]BY73X - Assembly (PM)'!$I:$I="Paintshop")+0)+SUMPRODUCT(('X:\BY7xx Shared Management Information\5. BY731 Line_Subs_Final  2018\01 Mike Gaffney\Quality\DPV Into Rattle Road\KW40\[Open Defects into Rattle Test Daily KW40D3.xlsx]BY73X - Assembly (PM)'!$I:$I="Paint")+0))/'X:\BY7xx Shared Management Information\5. BY731 Line_Subs_Final  2018\01 Mike Gaffney\Quality\DPV Into Rattle Road\KW40\[Open Defects into Rattle Test Daily KW40D3.xlsx]BY73X - Assembly (PM)'!$C$4</v>
      </c>
      <c r="L43" s="7" t="str">
        <f t="shared" si="33"/>
        <v>=(SUMPRODUCT(('X:\BY7xx Shared Management Information\5. BY731 Line_Subs_Final  2018\01 Mike Gaffney\Quality\DPV Into Rattle Road\KW40\[Open Defects into Rattle Test Daily KW40D3.xlsx]BY73X - Assembly (PM)'!$I:$I="Car Locked")+0))/'X:\BY7xx Shared Management Information\5. BY731 Line_Subs_Final  2018\01 Mike Gaffney\Quality\DPV Into Rattle Road\KW40\[Open Defects into Rattle Test Daily KW40D3.xlsx]BY73X - Assembly (PM)'!$C$4</v>
      </c>
      <c r="M43" s="8" t="e">
        <f t="shared" si="19"/>
        <v>#VALUE!</v>
      </c>
      <c r="N43" s="6" t="str">
        <f t="shared" si="41"/>
        <v>='X:\BY7xx Shared Management Information\5. BY731 Line_Subs_Final  2018\01 Mike Gaffney\Quality\DPV Into Rattle Road\KW40\[Open Defects into Rattle Test Daily KW40D4.xlsx]BY73X - Assembly (PM)'!$C$6</v>
      </c>
      <c r="O43" s="7" t="str">
        <f t="shared" si="34"/>
        <v>=(SUMPRODUCT(('X:\BY7xx Shared Management Information\5. BY731 Line_Subs_Final  2018\01 Mike Gaffney\Quality\DPV Into Rattle Road\KW40\[Open Defects into Rattle Test Daily KW40D4.xlsx]BY73X - Assembly (PM)'!$I:$I="Paintshop")+0)+SUMPRODUCT(('X:\BY7xx Shared Management Information\5. BY731 Line_Subs_Final  2018\01 Mike Gaffney\Quality\DPV Into Rattle Road\KW40\[Open Defects into Rattle Test Daily KW40D4.xlsx]BY73X - Assembly (PM)'!$I:$I="Paint")+0))/'X:\BY7xx Shared Management Information\5. BY731 Line_Subs_Final  2018\01 Mike Gaffney\Quality\DPV Into Rattle Road\KW40\[Open Defects into Rattle Test Daily KW40D4.xlsx]BY73X - Assembly (PM)'!$C$4</v>
      </c>
      <c r="P43" s="7" t="str">
        <f t="shared" si="35"/>
        <v>=(SUMPRODUCT(('X:\BY7xx Shared Management Information\5. BY731 Line_Subs_Final  2018\01 Mike Gaffney\Quality\DPV Into Rattle Road\KW40\[Open Defects into Rattle Test Daily KW40D4.xlsx]BY73X - Assembly (PM)'!$I:$I="Car Locked")+0))/'X:\BY7xx Shared Management Information\5. BY731 Line_Subs_Final  2018\01 Mike Gaffney\Quality\DPV Into Rattle Road\KW40\[Open Defects into Rattle Test Daily KW40D4.xlsx]BY73X - Assembly (PM)'!$C$4</v>
      </c>
      <c r="Q43" s="8" t="e">
        <f t="shared" si="20"/>
        <v>#VALUE!</v>
      </c>
      <c r="R43" s="6" t="str">
        <f t="shared" si="41"/>
        <v>='X:\BY7xx Shared Management Information\5. BY731 Line_Subs_Final  2018\01 Mike Gaffney\Quality\DPV Into Rattle Road\KW40\[Open Defects into Rattle Test Daily KW40D5.xlsx]BY73X - Assembly (PM)'!$C$6</v>
      </c>
      <c r="S43" s="7" t="str">
        <f t="shared" si="36"/>
        <v>=(SUMPRODUCT(('X:\BY7xx Shared Management Information\5. BY731 Line_Subs_Final  2018\01 Mike Gaffney\Quality\DPV Into Rattle Road\KW40\[Open Defects into Rattle Test Daily KW40D5.xlsx]BY73X - Assembly (PM)'!$I:$I="Paintshop")+0)+SUMPRODUCT(('X:\BY7xx Shared Management Information\5. BY731 Line_Subs_Final  2018\01 Mike Gaffney\Quality\DPV Into Rattle Road\KW40\[Open Defects into Rattle Test Daily KW40D5.xlsx]BY73X - Assembly (PM)'!$I:$I="Paint")+0))/'X:\BY7xx Shared Management Information\5. BY731 Line_Subs_Final  2018\01 Mike Gaffney\Quality\DPV Into Rattle Road\KW40\[Open Defects into Rattle Test Daily KW40D5.xlsx]BY73X - Assembly (PM)'!$C$4</v>
      </c>
      <c r="T43" s="7" t="str">
        <f t="shared" si="37"/>
        <v>=(SUMPRODUCT(('X:\BY7xx Shared Management Information\5. BY731 Line_Subs_Final  2018\01 Mike Gaffney\Quality\DPV Into Rattle Road\KW40\[Open Defects into Rattle Test Daily KW40D5.xlsx]BY73X - Assembly (PM)'!$I:$I="Car Locked")+0))/'X:\BY7xx Shared Management Information\5. BY731 Line_Subs_Final  2018\01 Mike Gaffney\Quality\DPV Into Rattle Road\KW40\[Open Defects into Rattle Test Daily KW40D5.xlsx]BY73X - Assembly (PM)'!$C$4</v>
      </c>
      <c r="U43" s="8" t="e">
        <f t="shared" si="21"/>
        <v>#VALUE!</v>
      </c>
      <c r="V43" t="e">
        <f t="shared" si="22"/>
        <v>#DIV/0!</v>
      </c>
      <c r="W43" t="e">
        <f t="shared" si="23"/>
        <v>#DIV/0!</v>
      </c>
      <c r="X43" t="e">
        <f t="shared" si="24"/>
        <v>#DIV/0!</v>
      </c>
      <c r="Y43" t="e">
        <f t="shared" si="25"/>
        <v>#VALUE!</v>
      </c>
      <c r="Z43" s="3">
        <v>1.57</v>
      </c>
    </row>
    <row r="44" spans="1:26" x14ac:dyDescent="0.2">
      <c r="A44" t="s">
        <v>45</v>
      </c>
      <c r="B44" s="6" t="str">
        <f t="shared" si="38"/>
        <v>='X:\BY7xx Shared Management Information\5. BY731 Line_Subs_Final  2018\01 Mike Gaffney\Quality\DPV Into Rattle Road\KW41\[Open Defects into Rattle Test Daily KW41D1.xlsx]BY73X - Assembly (PM)'!$C$6</v>
      </c>
      <c r="C44" s="7" t="str">
        <f t="shared" si="28"/>
        <v>=(SUMPRODUCT(('X:\BY7xx Shared Management Information\5. BY731 Line_Subs_Final  2018\01 Mike Gaffney\Quality\DPV Into Rattle Road\KW41\[Open Defects into Rattle Test Daily KW41D1.xlsx]BY73X - Assembly (PM)'!$I:$I="Paintshop")+0)+SUMPRODUCT(('X:\BY7xx Shared Management Information\5. BY731 Line_Subs_Final  2018\01 Mike Gaffney\Quality\DPV Into Rattle Road\KW41\[Open Defects into Rattle Test Daily KW41D1.xlsx]BY73X - Assembly (PM)'!$I:$I="Paint")+0))/'X:\BY7xx Shared Management Information\5. BY731 Line_Subs_Final  2018\01 Mike Gaffney\Quality\DPV Into Rattle Road\KW41\[Open Defects into Rattle Test Daily KW41D1.xlsx]BY73X - Assembly (PM)'!$C$4</v>
      </c>
      <c r="D44" s="7" t="str">
        <f t="shared" si="29"/>
        <v>=(SUMPRODUCT(('X:\BY7xx Shared Management Information\5. BY731 Line_Subs_Final  2018\01 Mike Gaffney\Quality\DPV Into Rattle Road\KW41\[Open Defects into Rattle Test Daily KW41D1.xlsx]BY73X - Assembly (PM)'!$I:$I="Car Locked")+0))/'X:\BY7xx Shared Management Information\5. BY731 Line_Subs_Final  2018\01 Mike Gaffney\Quality\DPV Into Rattle Road\KW41\[Open Defects into Rattle Test Daily KW41D1.xlsx]BY73X - Assembly (PM)'!$C$4</v>
      </c>
      <c r="E44" s="8" t="e">
        <f t="shared" si="17"/>
        <v>#VALUE!</v>
      </c>
      <c r="F44" s="6" t="str">
        <f t="shared" si="39"/>
        <v>='X:\BY7xx Shared Management Information\5. BY731 Line_Subs_Final  2018\01 Mike Gaffney\Quality\DPV Into Rattle Road\KW41\[Open Defects into Rattle Test Daily KW41D2.xlsx]BY73X - Assembly (PM)'!$C$6</v>
      </c>
      <c r="G44" s="7" t="str">
        <f t="shared" si="30"/>
        <v>=(SUMPRODUCT(('X:\BY7xx Shared Management Information\5. BY731 Line_Subs_Final  2018\01 Mike Gaffney\Quality\DPV Into Rattle Road\KW41\[Open Defects into Rattle Test Daily KW41D2.xlsx]BY73X - Assembly (PM)'!$I:$I="Paintshop")+0)+SUMPRODUCT(('X:\BY7xx Shared Management Information\5. BY731 Line_Subs_Final  2018\01 Mike Gaffney\Quality\DPV Into Rattle Road\KW41\[Open Defects into Rattle Test Daily KW41D2.xlsx]BY73X - Assembly (PM)'!$I:$I="Paint")+0))/'X:\BY7xx Shared Management Information\5. BY731 Line_Subs_Final  2018\01 Mike Gaffney\Quality\DPV Into Rattle Road\KW41\[Open Defects into Rattle Test Daily KW41D2.xlsx]BY73X - Assembly (PM)'!$C$4</v>
      </c>
      <c r="H44" s="7" t="str">
        <f t="shared" si="31"/>
        <v>=(SUMPRODUCT(('X:\BY7xx Shared Management Information\5. BY731 Line_Subs_Final  2018\01 Mike Gaffney\Quality\DPV Into Rattle Road\KW41\[Open Defects into Rattle Test Daily KW41D2.xlsx]BY73X - Assembly (PM)'!$I:$I="Car Locked")+0))/'X:\BY7xx Shared Management Information\5. BY731 Line_Subs_Final  2018\01 Mike Gaffney\Quality\DPV Into Rattle Road\KW41\[Open Defects into Rattle Test Daily KW41D2.xlsx]BY73X - Assembly (PM)'!$C$4</v>
      </c>
      <c r="I44" s="8" t="e">
        <f t="shared" si="18"/>
        <v>#VALUE!</v>
      </c>
      <c r="J44" s="6" t="str">
        <f t="shared" si="40"/>
        <v>='X:\BY7xx Shared Management Information\5. BY731 Line_Subs_Final  2018\01 Mike Gaffney\Quality\DPV Into Rattle Road\KW41\[Open Defects into Rattle Test Daily KW41D3.xlsx]BY73X - Assembly (PM)'!$C$6</v>
      </c>
      <c r="K44" s="7" t="str">
        <f t="shared" si="32"/>
        <v>=(SUMPRODUCT(('X:\BY7xx Shared Management Information\5. BY731 Line_Subs_Final  2018\01 Mike Gaffney\Quality\DPV Into Rattle Road\KW41\[Open Defects into Rattle Test Daily KW41D3.xlsx]BY73X - Assembly (PM)'!$I:$I="Paintshop")+0)+SUMPRODUCT(('X:\BY7xx Shared Management Information\5. BY731 Line_Subs_Final  2018\01 Mike Gaffney\Quality\DPV Into Rattle Road\KW41\[Open Defects into Rattle Test Daily KW41D3.xlsx]BY73X - Assembly (PM)'!$I:$I="Paint")+0))/'X:\BY7xx Shared Management Information\5. BY731 Line_Subs_Final  2018\01 Mike Gaffney\Quality\DPV Into Rattle Road\KW41\[Open Defects into Rattle Test Daily KW41D3.xlsx]BY73X - Assembly (PM)'!$C$4</v>
      </c>
      <c r="L44" s="7" t="str">
        <f t="shared" si="33"/>
        <v>=(SUMPRODUCT(('X:\BY7xx Shared Management Information\5. BY731 Line_Subs_Final  2018\01 Mike Gaffney\Quality\DPV Into Rattle Road\KW41\[Open Defects into Rattle Test Daily KW41D3.xlsx]BY73X - Assembly (PM)'!$I:$I="Car Locked")+0))/'X:\BY7xx Shared Management Information\5. BY731 Line_Subs_Final  2018\01 Mike Gaffney\Quality\DPV Into Rattle Road\KW41\[Open Defects into Rattle Test Daily KW41D3.xlsx]BY73X - Assembly (PM)'!$C$4</v>
      </c>
      <c r="M44" s="8" t="e">
        <f t="shared" si="19"/>
        <v>#VALUE!</v>
      </c>
      <c r="N44" s="6" t="str">
        <f t="shared" si="41"/>
        <v>='X:\BY7xx Shared Management Information\5. BY731 Line_Subs_Final  2018\01 Mike Gaffney\Quality\DPV Into Rattle Road\KW41\[Open Defects into Rattle Test Daily KW41D4.xlsx]BY73X - Assembly (PM)'!$C$6</v>
      </c>
      <c r="O44" s="7" t="str">
        <f t="shared" si="34"/>
        <v>=(SUMPRODUCT(('X:\BY7xx Shared Management Information\5. BY731 Line_Subs_Final  2018\01 Mike Gaffney\Quality\DPV Into Rattle Road\KW41\[Open Defects into Rattle Test Daily KW41D4.xlsx]BY73X - Assembly (PM)'!$I:$I="Paintshop")+0)+SUMPRODUCT(('X:\BY7xx Shared Management Information\5. BY731 Line_Subs_Final  2018\01 Mike Gaffney\Quality\DPV Into Rattle Road\KW41\[Open Defects into Rattle Test Daily KW41D4.xlsx]BY73X - Assembly (PM)'!$I:$I="Paint")+0))/'X:\BY7xx Shared Management Information\5. BY731 Line_Subs_Final  2018\01 Mike Gaffney\Quality\DPV Into Rattle Road\KW41\[Open Defects into Rattle Test Daily KW41D4.xlsx]BY73X - Assembly (PM)'!$C$4</v>
      </c>
      <c r="P44" s="7" t="str">
        <f t="shared" si="35"/>
        <v>=(SUMPRODUCT(('X:\BY7xx Shared Management Information\5. BY731 Line_Subs_Final  2018\01 Mike Gaffney\Quality\DPV Into Rattle Road\KW41\[Open Defects into Rattle Test Daily KW41D4.xlsx]BY73X - Assembly (PM)'!$I:$I="Car Locked")+0))/'X:\BY7xx Shared Management Information\5. BY731 Line_Subs_Final  2018\01 Mike Gaffney\Quality\DPV Into Rattle Road\KW41\[Open Defects into Rattle Test Daily KW41D4.xlsx]BY73X - Assembly (PM)'!$C$4</v>
      </c>
      <c r="Q44" s="8" t="e">
        <f t="shared" si="20"/>
        <v>#VALUE!</v>
      </c>
      <c r="R44" s="6" t="str">
        <f t="shared" si="41"/>
        <v>='X:\BY7xx Shared Management Information\5. BY731 Line_Subs_Final  2018\01 Mike Gaffney\Quality\DPV Into Rattle Road\KW41\[Open Defects into Rattle Test Daily KW41D5.xlsx]BY73X - Assembly (PM)'!$C$6</v>
      </c>
      <c r="S44" s="7" t="str">
        <f t="shared" si="36"/>
        <v>=(SUMPRODUCT(('X:\BY7xx Shared Management Information\5. BY731 Line_Subs_Final  2018\01 Mike Gaffney\Quality\DPV Into Rattle Road\KW41\[Open Defects into Rattle Test Daily KW41D5.xlsx]BY73X - Assembly (PM)'!$I:$I="Paintshop")+0)+SUMPRODUCT(('X:\BY7xx Shared Management Information\5. BY731 Line_Subs_Final  2018\01 Mike Gaffney\Quality\DPV Into Rattle Road\KW41\[Open Defects into Rattle Test Daily KW41D5.xlsx]BY73X - Assembly (PM)'!$I:$I="Paint")+0))/'X:\BY7xx Shared Management Information\5. BY731 Line_Subs_Final  2018\01 Mike Gaffney\Quality\DPV Into Rattle Road\KW41\[Open Defects into Rattle Test Daily KW41D5.xlsx]BY73X - Assembly (PM)'!$C$4</v>
      </c>
      <c r="T44" s="7" t="str">
        <f t="shared" si="37"/>
        <v>=(SUMPRODUCT(('X:\BY7xx Shared Management Information\5. BY731 Line_Subs_Final  2018\01 Mike Gaffney\Quality\DPV Into Rattle Road\KW41\[Open Defects into Rattle Test Daily KW41D5.xlsx]BY73X - Assembly (PM)'!$I:$I="Car Locked")+0))/'X:\BY7xx Shared Management Information\5. BY731 Line_Subs_Final  2018\01 Mike Gaffney\Quality\DPV Into Rattle Road\KW41\[Open Defects into Rattle Test Daily KW41D5.xlsx]BY73X - Assembly (PM)'!$C$4</v>
      </c>
      <c r="U44" s="8" t="e">
        <f t="shared" si="21"/>
        <v>#VALUE!</v>
      </c>
      <c r="V44" t="e">
        <f t="shared" si="22"/>
        <v>#DIV/0!</v>
      </c>
      <c r="W44" t="e">
        <f t="shared" si="23"/>
        <v>#DIV/0!</v>
      </c>
      <c r="X44" t="e">
        <f t="shared" si="24"/>
        <v>#DIV/0!</v>
      </c>
      <c r="Y44" t="e">
        <f t="shared" si="25"/>
        <v>#VALUE!</v>
      </c>
      <c r="Z44" s="3">
        <v>1.57</v>
      </c>
    </row>
    <row r="45" spans="1:26" x14ac:dyDescent="0.2">
      <c r="A45" t="s">
        <v>46</v>
      </c>
      <c r="B45" s="6" t="str">
        <f t="shared" si="38"/>
        <v>='X:\BY7xx Shared Management Information\5. BY731 Line_Subs_Final  2018\01 Mike Gaffney\Quality\DPV Into Rattle Road\KW42\[Open Defects into Rattle Test Daily KW42D1.xlsx]BY73X - Assembly (PM)'!$C$6</v>
      </c>
      <c r="C45" s="7" t="str">
        <f t="shared" si="28"/>
        <v>=(SUMPRODUCT(('X:\BY7xx Shared Management Information\5. BY731 Line_Subs_Final  2018\01 Mike Gaffney\Quality\DPV Into Rattle Road\KW42\[Open Defects into Rattle Test Daily KW42D1.xlsx]BY73X - Assembly (PM)'!$I:$I="Paintshop")+0)+SUMPRODUCT(('X:\BY7xx Shared Management Information\5. BY731 Line_Subs_Final  2018\01 Mike Gaffney\Quality\DPV Into Rattle Road\KW42\[Open Defects into Rattle Test Daily KW42D1.xlsx]BY73X - Assembly (PM)'!$I:$I="Paint")+0))/'X:\BY7xx Shared Management Information\5. BY731 Line_Subs_Final  2018\01 Mike Gaffney\Quality\DPV Into Rattle Road\KW42\[Open Defects into Rattle Test Daily KW42D1.xlsx]BY73X - Assembly (PM)'!$C$4</v>
      </c>
      <c r="D45" s="7" t="str">
        <f t="shared" si="29"/>
        <v>=(SUMPRODUCT(('X:\BY7xx Shared Management Information\5. BY731 Line_Subs_Final  2018\01 Mike Gaffney\Quality\DPV Into Rattle Road\KW42\[Open Defects into Rattle Test Daily KW42D1.xlsx]BY73X - Assembly (PM)'!$I:$I="Car Locked")+0))/'X:\BY7xx Shared Management Information\5. BY731 Line_Subs_Final  2018\01 Mike Gaffney\Quality\DPV Into Rattle Road\KW42\[Open Defects into Rattle Test Daily KW42D1.xlsx]BY73X - Assembly (PM)'!$C$4</v>
      </c>
      <c r="E45" s="8" t="e">
        <f t="shared" si="17"/>
        <v>#VALUE!</v>
      </c>
      <c r="F45" s="6" t="str">
        <f t="shared" si="39"/>
        <v>='X:\BY7xx Shared Management Information\5. BY731 Line_Subs_Final  2018\01 Mike Gaffney\Quality\DPV Into Rattle Road\KW42\[Open Defects into Rattle Test Daily KW42D2.xlsx]BY73X - Assembly (PM)'!$C$6</v>
      </c>
      <c r="G45" s="7" t="str">
        <f t="shared" si="30"/>
        <v>=(SUMPRODUCT(('X:\BY7xx Shared Management Information\5. BY731 Line_Subs_Final  2018\01 Mike Gaffney\Quality\DPV Into Rattle Road\KW42\[Open Defects into Rattle Test Daily KW42D2.xlsx]BY73X - Assembly (PM)'!$I:$I="Paintshop")+0)+SUMPRODUCT(('X:\BY7xx Shared Management Information\5. BY731 Line_Subs_Final  2018\01 Mike Gaffney\Quality\DPV Into Rattle Road\KW42\[Open Defects into Rattle Test Daily KW42D2.xlsx]BY73X - Assembly (PM)'!$I:$I="Paint")+0))/'X:\BY7xx Shared Management Information\5. BY731 Line_Subs_Final  2018\01 Mike Gaffney\Quality\DPV Into Rattle Road\KW42\[Open Defects into Rattle Test Daily KW42D2.xlsx]BY73X - Assembly (PM)'!$C$4</v>
      </c>
      <c r="H45" s="7" t="str">
        <f t="shared" si="31"/>
        <v>=(SUMPRODUCT(('X:\BY7xx Shared Management Information\5. BY731 Line_Subs_Final  2018\01 Mike Gaffney\Quality\DPV Into Rattle Road\KW42\[Open Defects into Rattle Test Daily KW42D2.xlsx]BY73X - Assembly (PM)'!$I:$I="Car Locked")+0))/'X:\BY7xx Shared Management Information\5. BY731 Line_Subs_Final  2018\01 Mike Gaffney\Quality\DPV Into Rattle Road\KW42\[Open Defects into Rattle Test Daily KW42D2.xlsx]BY73X - Assembly (PM)'!$C$4</v>
      </c>
      <c r="I45" s="8" t="e">
        <f t="shared" si="18"/>
        <v>#VALUE!</v>
      </c>
      <c r="J45" s="6" t="str">
        <f t="shared" si="40"/>
        <v>='X:\BY7xx Shared Management Information\5. BY731 Line_Subs_Final  2018\01 Mike Gaffney\Quality\DPV Into Rattle Road\KW42\[Open Defects into Rattle Test Daily KW42D3.xlsx]BY73X - Assembly (PM)'!$C$6</v>
      </c>
      <c r="K45" s="7" t="str">
        <f t="shared" si="32"/>
        <v>=(SUMPRODUCT(('X:\BY7xx Shared Management Information\5. BY731 Line_Subs_Final  2018\01 Mike Gaffney\Quality\DPV Into Rattle Road\KW42\[Open Defects into Rattle Test Daily KW42D3.xlsx]BY73X - Assembly (PM)'!$I:$I="Paintshop")+0)+SUMPRODUCT(('X:\BY7xx Shared Management Information\5. BY731 Line_Subs_Final  2018\01 Mike Gaffney\Quality\DPV Into Rattle Road\KW42\[Open Defects into Rattle Test Daily KW42D3.xlsx]BY73X - Assembly (PM)'!$I:$I="Paint")+0))/'X:\BY7xx Shared Management Information\5. BY731 Line_Subs_Final  2018\01 Mike Gaffney\Quality\DPV Into Rattle Road\KW42\[Open Defects into Rattle Test Daily KW42D3.xlsx]BY73X - Assembly (PM)'!$C$4</v>
      </c>
      <c r="L45" s="7" t="str">
        <f t="shared" si="33"/>
        <v>=(SUMPRODUCT(('X:\BY7xx Shared Management Information\5. BY731 Line_Subs_Final  2018\01 Mike Gaffney\Quality\DPV Into Rattle Road\KW42\[Open Defects into Rattle Test Daily KW42D3.xlsx]BY73X - Assembly (PM)'!$I:$I="Car Locked")+0))/'X:\BY7xx Shared Management Information\5. BY731 Line_Subs_Final  2018\01 Mike Gaffney\Quality\DPV Into Rattle Road\KW42\[Open Defects into Rattle Test Daily KW42D3.xlsx]BY73X - Assembly (PM)'!$C$4</v>
      </c>
      <c r="M45" s="8" t="e">
        <f t="shared" si="19"/>
        <v>#VALUE!</v>
      </c>
      <c r="N45" s="6" t="str">
        <f t="shared" si="41"/>
        <v>='X:\BY7xx Shared Management Information\5. BY731 Line_Subs_Final  2018\01 Mike Gaffney\Quality\DPV Into Rattle Road\KW42\[Open Defects into Rattle Test Daily KW42D4.xlsx]BY73X - Assembly (PM)'!$C$6</v>
      </c>
      <c r="O45" s="7" t="str">
        <f t="shared" si="34"/>
        <v>=(SUMPRODUCT(('X:\BY7xx Shared Management Information\5. BY731 Line_Subs_Final  2018\01 Mike Gaffney\Quality\DPV Into Rattle Road\KW42\[Open Defects into Rattle Test Daily KW42D4.xlsx]BY73X - Assembly (PM)'!$I:$I="Paintshop")+0)+SUMPRODUCT(('X:\BY7xx Shared Management Information\5. BY731 Line_Subs_Final  2018\01 Mike Gaffney\Quality\DPV Into Rattle Road\KW42\[Open Defects into Rattle Test Daily KW42D4.xlsx]BY73X - Assembly (PM)'!$I:$I="Paint")+0))/'X:\BY7xx Shared Management Information\5. BY731 Line_Subs_Final  2018\01 Mike Gaffney\Quality\DPV Into Rattle Road\KW42\[Open Defects into Rattle Test Daily KW42D4.xlsx]BY73X - Assembly (PM)'!$C$4</v>
      </c>
      <c r="P45" s="7" t="str">
        <f t="shared" si="35"/>
        <v>=(SUMPRODUCT(('X:\BY7xx Shared Management Information\5. BY731 Line_Subs_Final  2018\01 Mike Gaffney\Quality\DPV Into Rattle Road\KW42\[Open Defects into Rattle Test Daily KW42D4.xlsx]BY73X - Assembly (PM)'!$I:$I="Car Locked")+0))/'X:\BY7xx Shared Management Information\5. BY731 Line_Subs_Final  2018\01 Mike Gaffney\Quality\DPV Into Rattle Road\KW42\[Open Defects into Rattle Test Daily KW42D4.xlsx]BY73X - Assembly (PM)'!$C$4</v>
      </c>
      <c r="Q45" s="8" t="e">
        <f t="shared" si="20"/>
        <v>#VALUE!</v>
      </c>
      <c r="R45" s="6" t="str">
        <f t="shared" si="41"/>
        <v>='X:\BY7xx Shared Management Information\5. BY731 Line_Subs_Final  2018\01 Mike Gaffney\Quality\DPV Into Rattle Road\KW42\[Open Defects into Rattle Test Daily KW42D5.xlsx]BY73X - Assembly (PM)'!$C$6</v>
      </c>
      <c r="S45" s="7" t="str">
        <f t="shared" si="36"/>
        <v>=(SUMPRODUCT(('X:\BY7xx Shared Management Information\5. BY731 Line_Subs_Final  2018\01 Mike Gaffney\Quality\DPV Into Rattle Road\KW42\[Open Defects into Rattle Test Daily KW42D5.xlsx]BY73X - Assembly (PM)'!$I:$I="Paintshop")+0)+SUMPRODUCT(('X:\BY7xx Shared Management Information\5. BY731 Line_Subs_Final  2018\01 Mike Gaffney\Quality\DPV Into Rattle Road\KW42\[Open Defects into Rattle Test Daily KW42D5.xlsx]BY73X - Assembly (PM)'!$I:$I="Paint")+0))/'X:\BY7xx Shared Management Information\5. BY731 Line_Subs_Final  2018\01 Mike Gaffney\Quality\DPV Into Rattle Road\KW42\[Open Defects into Rattle Test Daily KW42D5.xlsx]BY73X - Assembly (PM)'!$C$4</v>
      </c>
      <c r="T45" s="7" t="str">
        <f t="shared" si="37"/>
        <v>=(SUMPRODUCT(('X:\BY7xx Shared Management Information\5. BY731 Line_Subs_Final  2018\01 Mike Gaffney\Quality\DPV Into Rattle Road\KW42\[Open Defects into Rattle Test Daily KW42D5.xlsx]BY73X - Assembly (PM)'!$I:$I="Car Locked")+0))/'X:\BY7xx Shared Management Information\5. BY731 Line_Subs_Final  2018\01 Mike Gaffney\Quality\DPV Into Rattle Road\KW42\[Open Defects into Rattle Test Daily KW42D5.xlsx]BY73X - Assembly (PM)'!$C$4</v>
      </c>
      <c r="U45" s="8" t="e">
        <f t="shared" si="21"/>
        <v>#VALUE!</v>
      </c>
      <c r="V45" t="e">
        <f t="shared" si="22"/>
        <v>#DIV/0!</v>
      </c>
      <c r="W45" t="e">
        <f t="shared" si="23"/>
        <v>#DIV/0!</v>
      </c>
      <c r="X45" t="e">
        <f t="shared" si="24"/>
        <v>#DIV/0!</v>
      </c>
      <c r="Y45" t="e">
        <f t="shared" si="25"/>
        <v>#VALUE!</v>
      </c>
      <c r="Z45" s="3">
        <v>1.57</v>
      </c>
    </row>
    <row r="46" spans="1:26" x14ac:dyDescent="0.2">
      <c r="A46" t="s">
        <v>47</v>
      </c>
      <c r="B46" s="6" t="str">
        <f t="shared" si="38"/>
        <v>='X:\BY7xx Shared Management Information\5. BY731 Line_Subs_Final  2018\01 Mike Gaffney\Quality\DPV Into Rattle Road\KW43\[Open Defects into Rattle Test Daily KW43D1.xlsx]BY73X - Assembly (PM)'!$C$6</v>
      </c>
      <c r="C46" s="7" t="str">
        <f t="shared" si="28"/>
        <v>=(SUMPRODUCT(('X:\BY7xx Shared Management Information\5. BY731 Line_Subs_Final  2018\01 Mike Gaffney\Quality\DPV Into Rattle Road\KW43\[Open Defects into Rattle Test Daily KW43D1.xlsx]BY73X - Assembly (PM)'!$I:$I="Paintshop")+0)+SUMPRODUCT(('X:\BY7xx Shared Management Information\5. BY731 Line_Subs_Final  2018\01 Mike Gaffney\Quality\DPV Into Rattle Road\KW43\[Open Defects into Rattle Test Daily KW43D1.xlsx]BY73X - Assembly (PM)'!$I:$I="Paint")+0))/'X:\BY7xx Shared Management Information\5. BY731 Line_Subs_Final  2018\01 Mike Gaffney\Quality\DPV Into Rattle Road\KW43\[Open Defects into Rattle Test Daily KW43D1.xlsx]BY73X - Assembly (PM)'!$C$4</v>
      </c>
      <c r="D46" s="7" t="str">
        <f t="shared" si="29"/>
        <v>=(SUMPRODUCT(('X:\BY7xx Shared Management Information\5. BY731 Line_Subs_Final  2018\01 Mike Gaffney\Quality\DPV Into Rattle Road\KW43\[Open Defects into Rattle Test Daily KW43D1.xlsx]BY73X - Assembly (PM)'!$I:$I="Car Locked")+0))/'X:\BY7xx Shared Management Information\5. BY731 Line_Subs_Final  2018\01 Mike Gaffney\Quality\DPV Into Rattle Road\KW43\[Open Defects into Rattle Test Daily KW43D1.xlsx]BY73X - Assembly (PM)'!$C$4</v>
      </c>
      <c r="E46" s="8" t="e">
        <f t="shared" si="17"/>
        <v>#VALUE!</v>
      </c>
      <c r="F46" s="6" t="str">
        <f t="shared" si="39"/>
        <v>='X:\BY7xx Shared Management Information\5. BY731 Line_Subs_Final  2018\01 Mike Gaffney\Quality\DPV Into Rattle Road\KW43\[Open Defects into Rattle Test Daily KW43D2.xlsx]BY73X - Assembly (PM)'!$C$6</v>
      </c>
      <c r="G46" s="7" t="str">
        <f t="shared" si="30"/>
        <v>=(SUMPRODUCT(('X:\BY7xx Shared Management Information\5. BY731 Line_Subs_Final  2018\01 Mike Gaffney\Quality\DPV Into Rattle Road\KW43\[Open Defects into Rattle Test Daily KW43D2.xlsx]BY73X - Assembly (PM)'!$I:$I="Paintshop")+0)+SUMPRODUCT(('X:\BY7xx Shared Management Information\5. BY731 Line_Subs_Final  2018\01 Mike Gaffney\Quality\DPV Into Rattle Road\KW43\[Open Defects into Rattle Test Daily KW43D2.xlsx]BY73X - Assembly (PM)'!$I:$I="Paint")+0))/'X:\BY7xx Shared Management Information\5. BY731 Line_Subs_Final  2018\01 Mike Gaffney\Quality\DPV Into Rattle Road\KW43\[Open Defects into Rattle Test Daily KW43D2.xlsx]BY73X - Assembly (PM)'!$C$4</v>
      </c>
      <c r="H46" s="7" t="str">
        <f t="shared" si="31"/>
        <v>=(SUMPRODUCT(('X:\BY7xx Shared Management Information\5. BY731 Line_Subs_Final  2018\01 Mike Gaffney\Quality\DPV Into Rattle Road\KW43\[Open Defects into Rattle Test Daily KW43D2.xlsx]BY73X - Assembly (PM)'!$I:$I="Car Locked")+0))/'X:\BY7xx Shared Management Information\5. BY731 Line_Subs_Final  2018\01 Mike Gaffney\Quality\DPV Into Rattle Road\KW43\[Open Defects into Rattle Test Daily KW43D2.xlsx]BY73X - Assembly (PM)'!$C$4</v>
      </c>
      <c r="I46" s="8" t="e">
        <f t="shared" si="18"/>
        <v>#VALUE!</v>
      </c>
      <c r="J46" s="6" t="str">
        <f t="shared" si="40"/>
        <v>='X:\BY7xx Shared Management Information\5. BY731 Line_Subs_Final  2018\01 Mike Gaffney\Quality\DPV Into Rattle Road\KW43\[Open Defects into Rattle Test Daily KW43D3.xlsx]BY73X - Assembly (PM)'!$C$6</v>
      </c>
      <c r="K46" s="7" t="str">
        <f t="shared" si="32"/>
        <v>=(SUMPRODUCT(('X:\BY7xx Shared Management Information\5. BY731 Line_Subs_Final  2018\01 Mike Gaffney\Quality\DPV Into Rattle Road\KW43\[Open Defects into Rattle Test Daily KW43D3.xlsx]BY73X - Assembly (PM)'!$I:$I="Paintshop")+0)+SUMPRODUCT(('X:\BY7xx Shared Management Information\5. BY731 Line_Subs_Final  2018\01 Mike Gaffney\Quality\DPV Into Rattle Road\KW43\[Open Defects into Rattle Test Daily KW43D3.xlsx]BY73X - Assembly (PM)'!$I:$I="Paint")+0))/'X:\BY7xx Shared Management Information\5. BY731 Line_Subs_Final  2018\01 Mike Gaffney\Quality\DPV Into Rattle Road\KW43\[Open Defects into Rattle Test Daily KW43D3.xlsx]BY73X - Assembly (PM)'!$C$4</v>
      </c>
      <c r="L46" s="7" t="str">
        <f t="shared" si="33"/>
        <v>=(SUMPRODUCT(('X:\BY7xx Shared Management Information\5. BY731 Line_Subs_Final  2018\01 Mike Gaffney\Quality\DPV Into Rattle Road\KW43\[Open Defects into Rattle Test Daily KW43D3.xlsx]BY73X - Assembly (PM)'!$I:$I="Car Locked")+0))/'X:\BY7xx Shared Management Information\5. BY731 Line_Subs_Final  2018\01 Mike Gaffney\Quality\DPV Into Rattle Road\KW43\[Open Defects into Rattle Test Daily KW43D3.xlsx]BY73X - Assembly (PM)'!$C$4</v>
      </c>
      <c r="M46" s="8" t="e">
        <f t="shared" si="19"/>
        <v>#VALUE!</v>
      </c>
      <c r="N46" s="6" t="str">
        <f t="shared" si="41"/>
        <v>='X:\BY7xx Shared Management Information\5. BY731 Line_Subs_Final  2018\01 Mike Gaffney\Quality\DPV Into Rattle Road\KW43\[Open Defects into Rattle Test Daily KW43D4.xlsx]BY73X - Assembly (PM)'!$C$6</v>
      </c>
      <c r="O46" s="7" t="str">
        <f t="shared" si="34"/>
        <v>=(SUMPRODUCT(('X:\BY7xx Shared Management Information\5. BY731 Line_Subs_Final  2018\01 Mike Gaffney\Quality\DPV Into Rattle Road\KW43\[Open Defects into Rattle Test Daily KW43D4.xlsx]BY73X - Assembly (PM)'!$I:$I="Paintshop")+0)+SUMPRODUCT(('X:\BY7xx Shared Management Information\5. BY731 Line_Subs_Final  2018\01 Mike Gaffney\Quality\DPV Into Rattle Road\KW43\[Open Defects into Rattle Test Daily KW43D4.xlsx]BY73X - Assembly (PM)'!$I:$I="Paint")+0))/'X:\BY7xx Shared Management Information\5. BY731 Line_Subs_Final  2018\01 Mike Gaffney\Quality\DPV Into Rattle Road\KW43\[Open Defects into Rattle Test Daily KW43D4.xlsx]BY73X - Assembly (PM)'!$C$4</v>
      </c>
      <c r="P46" s="7" t="str">
        <f t="shared" si="35"/>
        <v>=(SUMPRODUCT(('X:\BY7xx Shared Management Information\5. BY731 Line_Subs_Final  2018\01 Mike Gaffney\Quality\DPV Into Rattle Road\KW43\[Open Defects into Rattle Test Daily KW43D4.xlsx]BY73X - Assembly (PM)'!$I:$I="Car Locked")+0))/'X:\BY7xx Shared Management Information\5. BY731 Line_Subs_Final  2018\01 Mike Gaffney\Quality\DPV Into Rattle Road\KW43\[Open Defects into Rattle Test Daily KW43D4.xlsx]BY73X - Assembly (PM)'!$C$4</v>
      </c>
      <c r="Q46" s="8" t="e">
        <f t="shared" si="20"/>
        <v>#VALUE!</v>
      </c>
      <c r="R46" s="6" t="str">
        <f t="shared" si="41"/>
        <v>='X:\BY7xx Shared Management Information\5. BY731 Line_Subs_Final  2018\01 Mike Gaffney\Quality\DPV Into Rattle Road\KW43\[Open Defects into Rattle Test Daily KW43D5.xlsx]BY73X - Assembly (PM)'!$C$6</v>
      </c>
      <c r="S46" s="7" t="str">
        <f t="shared" si="36"/>
        <v>=(SUMPRODUCT(('X:\BY7xx Shared Management Information\5. BY731 Line_Subs_Final  2018\01 Mike Gaffney\Quality\DPV Into Rattle Road\KW43\[Open Defects into Rattle Test Daily KW43D5.xlsx]BY73X - Assembly (PM)'!$I:$I="Paintshop")+0)+SUMPRODUCT(('X:\BY7xx Shared Management Information\5. BY731 Line_Subs_Final  2018\01 Mike Gaffney\Quality\DPV Into Rattle Road\KW43\[Open Defects into Rattle Test Daily KW43D5.xlsx]BY73X - Assembly (PM)'!$I:$I="Paint")+0))/'X:\BY7xx Shared Management Information\5. BY731 Line_Subs_Final  2018\01 Mike Gaffney\Quality\DPV Into Rattle Road\KW43\[Open Defects into Rattle Test Daily KW43D5.xlsx]BY73X - Assembly (PM)'!$C$4</v>
      </c>
      <c r="T46" s="7" t="str">
        <f t="shared" si="37"/>
        <v>=(SUMPRODUCT(('X:\BY7xx Shared Management Information\5. BY731 Line_Subs_Final  2018\01 Mike Gaffney\Quality\DPV Into Rattle Road\KW43\[Open Defects into Rattle Test Daily KW43D5.xlsx]BY73X - Assembly (PM)'!$I:$I="Car Locked")+0))/'X:\BY7xx Shared Management Information\5. BY731 Line_Subs_Final  2018\01 Mike Gaffney\Quality\DPV Into Rattle Road\KW43\[Open Defects into Rattle Test Daily KW43D5.xlsx]BY73X - Assembly (PM)'!$C$4</v>
      </c>
      <c r="U46" s="8" t="e">
        <f t="shared" si="21"/>
        <v>#VALUE!</v>
      </c>
      <c r="V46" t="e">
        <f t="shared" si="22"/>
        <v>#DIV/0!</v>
      </c>
      <c r="W46" t="e">
        <f t="shared" si="23"/>
        <v>#DIV/0!</v>
      </c>
      <c r="X46" t="e">
        <f t="shared" si="24"/>
        <v>#DIV/0!</v>
      </c>
      <c r="Y46" t="e">
        <f t="shared" si="25"/>
        <v>#VALUE!</v>
      </c>
      <c r="Z46" s="3">
        <v>1.57</v>
      </c>
    </row>
    <row r="47" spans="1:26" x14ac:dyDescent="0.2">
      <c r="A47" t="s">
        <v>48</v>
      </c>
      <c r="B47" s="6" t="str">
        <f t="shared" si="38"/>
        <v>='X:\BY7xx Shared Management Information\5. BY731 Line_Subs_Final  2018\01 Mike Gaffney\Quality\DPV Into Rattle Road\KW44\[Open Defects into Rattle Test Daily KW44D1.xlsx]BY73X - Assembly (PM)'!$C$6</v>
      </c>
      <c r="C47" s="7" t="str">
        <f t="shared" si="28"/>
        <v>=(SUMPRODUCT(('X:\BY7xx Shared Management Information\5. BY731 Line_Subs_Final  2018\01 Mike Gaffney\Quality\DPV Into Rattle Road\KW44\[Open Defects into Rattle Test Daily KW44D1.xlsx]BY73X - Assembly (PM)'!$I:$I="Paintshop")+0)+SUMPRODUCT(('X:\BY7xx Shared Management Information\5. BY731 Line_Subs_Final  2018\01 Mike Gaffney\Quality\DPV Into Rattle Road\KW44\[Open Defects into Rattle Test Daily KW44D1.xlsx]BY73X - Assembly (PM)'!$I:$I="Paint")+0))/'X:\BY7xx Shared Management Information\5. BY731 Line_Subs_Final  2018\01 Mike Gaffney\Quality\DPV Into Rattle Road\KW44\[Open Defects into Rattle Test Daily KW44D1.xlsx]BY73X - Assembly (PM)'!$C$4</v>
      </c>
      <c r="D47" s="7" t="str">
        <f t="shared" si="29"/>
        <v>=(SUMPRODUCT(('X:\BY7xx Shared Management Information\5. BY731 Line_Subs_Final  2018\01 Mike Gaffney\Quality\DPV Into Rattle Road\KW44\[Open Defects into Rattle Test Daily KW44D1.xlsx]BY73X - Assembly (PM)'!$I:$I="Car Locked")+0))/'X:\BY7xx Shared Management Information\5. BY731 Line_Subs_Final  2018\01 Mike Gaffney\Quality\DPV Into Rattle Road\KW44\[Open Defects into Rattle Test Daily KW44D1.xlsx]BY73X - Assembly (PM)'!$C$4</v>
      </c>
      <c r="E47" s="8" t="e">
        <f t="shared" si="17"/>
        <v>#VALUE!</v>
      </c>
      <c r="F47" s="6" t="str">
        <f t="shared" si="39"/>
        <v>='X:\BY7xx Shared Management Information\5. BY731 Line_Subs_Final  2018\01 Mike Gaffney\Quality\DPV Into Rattle Road\KW44\[Open Defects into Rattle Test Daily KW44D2.xlsx]BY73X - Assembly (PM)'!$C$6</v>
      </c>
      <c r="G47" s="7" t="str">
        <f t="shared" si="30"/>
        <v>=(SUMPRODUCT(('X:\BY7xx Shared Management Information\5. BY731 Line_Subs_Final  2018\01 Mike Gaffney\Quality\DPV Into Rattle Road\KW44\[Open Defects into Rattle Test Daily KW44D2.xlsx]BY73X - Assembly (PM)'!$I:$I="Paintshop")+0)+SUMPRODUCT(('X:\BY7xx Shared Management Information\5. BY731 Line_Subs_Final  2018\01 Mike Gaffney\Quality\DPV Into Rattle Road\KW44\[Open Defects into Rattle Test Daily KW44D2.xlsx]BY73X - Assembly (PM)'!$I:$I="Paint")+0))/'X:\BY7xx Shared Management Information\5. BY731 Line_Subs_Final  2018\01 Mike Gaffney\Quality\DPV Into Rattle Road\KW44\[Open Defects into Rattle Test Daily KW44D2.xlsx]BY73X - Assembly (PM)'!$C$4</v>
      </c>
      <c r="H47" s="7" t="str">
        <f t="shared" si="31"/>
        <v>=(SUMPRODUCT(('X:\BY7xx Shared Management Information\5. BY731 Line_Subs_Final  2018\01 Mike Gaffney\Quality\DPV Into Rattle Road\KW44\[Open Defects into Rattle Test Daily KW44D2.xlsx]BY73X - Assembly (PM)'!$I:$I="Car Locked")+0))/'X:\BY7xx Shared Management Information\5. BY731 Line_Subs_Final  2018\01 Mike Gaffney\Quality\DPV Into Rattle Road\KW44\[Open Defects into Rattle Test Daily KW44D2.xlsx]BY73X - Assembly (PM)'!$C$4</v>
      </c>
      <c r="I47" s="8" t="e">
        <f t="shared" si="18"/>
        <v>#VALUE!</v>
      </c>
      <c r="J47" s="6" t="str">
        <f t="shared" si="40"/>
        <v>='X:\BY7xx Shared Management Information\5. BY731 Line_Subs_Final  2018\01 Mike Gaffney\Quality\DPV Into Rattle Road\KW44\[Open Defects into Rattle Test Daily KW44D3.xlsx]BY73X - Assembly (PM)'!$C$6</v>
      </c>
      <c r="K47" s="7" t="str">
        <f t="shared" si="32"/>
        <v>=(SUMPRODUCT(('X:\BY7xx Shared Management Information\5. BY731 Line_Subs_Final  2018\01 Mike Gaffney\Quality\DPV Into Rattle Road\KW44\[Open Defects into Rattle Test Daily KW44D3.xlsx]BY73X - Assembly (PM)'!$I:$I="Paintshop")+0)+SUMPRODUCT(('X:\BY7xx Shared Management Information\5. BY731 Line_Subs_Final  2018\01 Mike Gaffney\Quality\DPV Into Rattle Road\KW44\[Open Defects into Rattle Test Daily KW44D3.xlsx]BY73X - Assembly (PM)'!$I:$I="Paint")+0))/'X:\BY7xx Shared Management Information\5. BY731 Line_Subs_Final  2018\01 Mike Gaffney\Quality\DPV Into Rattle Road\KW44\[Open Defects into Rattle Test Daily KW44D3.xlsx]BY73X - Assembly (PM)'!$C$4</v>
      </c>
      <c r="L47" s="7" t="str">
        <f t="shared" si="33"/>
        <v>=(SUMPRODUCT(('X:\BY7xx Shared Management Information\5. BY731 Line_Subs_Final  2018\01 Mike Gaffney\Quality\DPV Into Rattle Road\KW44\[Open Defects into Rattle Test Daily KW44D3.xlsx]BY73X - Assembly (PM)'!$I:$I="Car Locked")+0))/'X:\BY7xx Shared Management Information\5. BY731 Line_Subs_Final  2018\01 Mike Gaffney\Quality\DPV Into Rattle Road\KW44\[Open Defects into Rattle Test Daily KW44D3.xlsx]BY73X - Assembly (PM)'!$C$4</v>
      </c>
      <c r="M47" s="8" t="e">
        <f t="shared" si="19"/>
        <v>#VALUE!</v>
      </c>
      <c r="N47" s="6" t="str">
        <f t="shared" si="41"/>
        <v>='X:\BY7xx Shared Management Information\5. BY731 Line_Subs_Final  2018\01 Mike Gaffney\Quality\DPV Into Rattle Road\KW44\[Open Defects into Rattle Test Daily KW44D4.xlsx]BY73X - Assembly (PM)'!$C$6</v>
      </c>
      <c r="O47" s="7" t="str">
        <f t="shared" si="34"/>
        <v>=(SUMPRODUCT(('X:\BY7xx Shared Management Information\5. BY731 Line_Subs_Final  2018\01 Mike Gaffney\Quality\DPV Into Rattle Road\KW44\[Open Defects into Rattle Test Daily KW44D4.xlsx]BY73X - Assembly (PM)'!$I:$I="Paintshop")+0)+SUMPRODUCT(('X:\BY7xx Shared Management Information\5. BY731 Line_Subs_Final  2018\01 Mike Gaffney\Quality\DPV Into Rattle Road\KW44\[Open Defects into Rattle Test Daily KW44D4.xlsx]BY73X - Assembly (PM)'!$I:$I="Paint")+0))/'X:\BY7xx Shared Management Information\5. BY731 Line_Subs_Final  2018\01 Mike Gaffney\Quality\DPV Into Rattle Road\KW44\[Open Defects into Rattle Test Daily KW44D4.xlsx]BY73X - Assembly (PM)'!$C$4</v>
      </c>
      <c r="P47" s="7" t="str">
        <f t="shared" si="35"/>
        <v>=(SUMPRODUCT(('X:\BY7xx Shared Management Information\5. BY731 Line_Subs_Final  2018\01 Mike Gaffney\Quality\DPV Into Rattle Road\KW44\[Open Defects into Rattle Test Daily KW44D4.xlsx]BY73X - Assembly (PM)'!$I:$I="Car Locked")+0))/'X:\BY7xx Shared Management Information\5. BY731 Line_Subs_Final  2018\01 Mike Gaffney\Quality\DPV Into Rattle Road\KW44\[Open Defects into Rattle Test Daily KW44D4.xlsx]BY73X - Assembly (PM)'!$C$4</v>
      </c>
      <c r="Q47" s="8" t="e">
        <f t="shared" si="20"/>
        <v>#VALUE!</v>
      </c>
      <c r="R47" s="6" t="str">
        <f t="shared" si="41"/>
        <v>='X:\BY7xx Shared Management Information\5. BY731 Line_Subs_Final  2018\01 Mike Gaffney\Quality\DPV Into Rattle Road\KW44\[Open Defects into Rattle Test Daily KW44D5.xlsx]BY73X - Assembly (PM)'!$C$6</v>
      </c>
      <c r="S47" s="7" t="str">
        <f t="shared" si="36"/>
        <v>=(SUMPRODUCT(('X:\BY7xx Shared Management Information\5. BY731 Line_Subs_Final  2018\01 Mike Gaffney\Quality\DPV Into Rattle Road\KW44\[Open Defects into Rattle Test Daily KW44D5.xlsx]BY73X - Assembly (PM)'!$I:$I="Paintshop")+0)+SUMPRODUCT(('X:\BY7xx Shared Management Information\5. BY731 Line_Subs_Final  2018\01 Mike Gaffney\Quality\DPV Into Rattle Road\KW44\[Open Defects into Rattle Test Daily KW44D5.xlsx]BY73X - Assembly (PM)'!$I:$I="Paint")+0))/'X:\BY7xx Shared Management Information\5. BY731 Line_Subs_Final  2018\01 Mike Gaffney\Quality\DPV Into Rattle Road\KW44\[Open Defects into Rattle Test Daily KW44D5.xlsx]BY73X - Assembly (PM)'!$C$4</v>
      </c>
      <c r="T47" s="7" t="str">
        <f t="shared" si="37"/>
        <v>=(SUMPRODUCT(('X:\BY7xx Shared Management Information\5. BY731 Line_Subs_Final  2018\01 Mike Gaffney\Quality\DPV Into Rattle Road\KW44\[Open Defects into Rattle Test Daily KW44D5.xlsx]BY73X - Assembly (PM)'!$I:$I="Car Locked")+0))/'X:\BY7xx Shared Management Information\5. BY731 Line_Subs_Final  2018\01 Mike Gaffney\Quality\DPV Into Rattle Road\KW44\[Open Defects into Rattle Test Daily KW44D5.xlsx]BY73X - Assembly (PM)'!$C$4</v>
      </c>
      <c r="U47" s="8" t="e">
        <f t="shared" si="21"/>
        <v>#VALUE!</v>
      </c>
      <c r="V47" t="e">
        <f t="shared" si="22"/>
        <v>#DIV/0!</v>
      </c>
      <c r="W47" t="e">
        <f t="shared" si="23"/>
        <v>#DIV/0!</v>
      </c>
      <c r="X47" t="e">
        <f t="shared" si="24"/>
        <v>#DIV/0!</v>
      </c>
      <c r="Y47" t="e">
        <f t="shared" si="25"/>
        <v>#VALUE!</v>
      </c>
      <c r="Z47" s="3">
        <v>1.57</v>
      </c>
    </row>
    <row r="48" spans="1:26" x14ac:dyDescent="0.2">
      <c r="A48" t="s">
        <v>49</v>
      </c>
      <c r="B48" s="6" t="str">
        <f t="shared" si="38"/>
        <v>='X:\BY7xx Shared Management Information\5. BY731 Line_Subs_Final  2018\01 Mike Gaffney\Quality\DPV Into Rattle Road\KW45\[Open Defects into Rattle Test Daily KW45D1.xlsx]BY73X - Assembly (PM)'!$C$6</v>
      </c>
      <c r="C48" s="7" t="str">
        <f t="shared" si="28"/>
        <v>=(SUMPRODUCT(('X:\BY7xx Shared Management Information\5. BY731 Line_Subs_Final  2018\01 Mike Gaffney\Quality\DPV Into Rattle Road\KW45\[Open Defects into Rattle Test Daily KW45D1.xlsx]BY73X - Assembly (PM)'!$I:$I="Paintshop")+0)+SUMPRODUCT(('X:\BY7xx Shared Management Information\5. BY731 Line_Subs_Final  2018\01 Mike Gaffney\Quality\DPV Into Rattle Road\KW45\[Open Defects into Rattle Test Daily KW45D1.xlsx]BY73X - Assembly (PM)'!$I:$I="Paint")+0))/'X:\BY7xx Shared Management Information\5. BY731 Line_Subs_Final  2018\01 Mike Gaffney\Quality\DPV Into Rattle Road\KW45\[Open Defects into Rattle Test Daily KW45D1.xlsx]BY73X - Assembly (PM)'!$C$4</v>
      </c>
      <c r="D48" s="7" t="str">
        <f t="shared" si="29"/>
        <v>=(SUMPRODUCT(('X:\BY7xx Shared Management Information\5. BY731 Line_Subs_Final  2018\01 Mike Gaffney\Quality\DPV Into Rattle Road\KW45\[Open Defects into Rattle Test Daily KW45D1.xlsx]BY73X - Assembly (PM)'!$I:$I="Car Locked")+0))/'X:\BY7xx Shared Management Information\5. BY731 Line_Subs_Final  2018\01 Mike Gaffney\Quality\DPV Into Rattle Road\KW45\[Open Defects into Rattle Test Daily KW45D1.xlsx]BY73X - Assembly (PM)'!$C$4</v>
      </c>
      <c r="E48" s="8" t="e">
        <f t="shared" si="17"/>
        <v>#VALUE!</v>
      </c>
      <c r="F48" s="6" t="str">
        <f t="shared" si="39"/>
        <v>='X:\BY7xx Shared Management Information\5. BY731 Line_Subs_Final  2018\01 Mike Gaffney\Quality\DPV Into Rattle Road\KW45\[Open Defects into Rattle Test Daily KW45D2.xlsx]BY73X - Assembly (PM)'!$C$6</v>
      </c>
      <c r="G48" s="7" t="str">
        <f t="shared" si="30"/>
        <v>=(SUMPRODUCT(('X:\BY7xx Shared Management Information\5. BY731 Line_Subs_Final  2018\01 Mike Gaffney\Quality\DPV Into Rattle Road\KW45\[Open Defects into Rattle Test Daily KW45D2.xlsx]BY73X - Assembly (PM)'!$I:$I="Paintshop")+0)+SUMPRODUCT(('X:\BY7xx Shared Management Information\5. BY731 Line_Subs_Final  2018\01 Mike Gaffney\Quality\DPV Into Rattle Road\KW45\[Open Defects into Rattle Test Daily KW45D2.xlsx]BY73X - Assembly (PM)'!$I:$I="Paint")+0))/'X:\BY7xx Shared Management Information\5. BY731 Line_Subs_Final  2018\01 Mike Gaffney\Quality\DPV Into Rattle Road\KW45\[Open Defects into Rattle Test Daily KW45D2.xlsx]BY73X - Assembly (PM)'!$C$4</v>
      </c>
      <c r="H48" s="7" t="str">
        <f t="shared" si="31"/>
        <v>=(SUMPRODUCT(('X:\BY7xx Shared Management Information\5. BY731 Line_Subs_Final  2018\01 Mike Gaffney\Quality\DPV Into Rattle Road\KW45\[Open Defects into Rattle Test Daily KW45D2.xlsx]BY73X - Assembly (PM)'!$I:$I="Car Locked")+0))/'X:\BY7xx Shared Management Information\5. BY731 Line_Subs_Final  2018\01 Mike Gaffney\Quality\DPV Into Rattle Road\KW45\[Open Defects into Rattle Test Daily KW45D2.xlsx]BY73X - Assembly (PM)'!$C$4</v>
      </c>
      <c r="I48" s="8" t="e">
        <f t="shared" si="18"/>
        <v>#VALUE!</v>
      </c>
      <c r="J48" s="6" t="str">
        <f t="shared" si="40"/>
        <v>='X:\BY7xx Shared Management Information\5. BY731 Line_Subs_Final  2018\01 Mike Gaffney\Quality\DPV Into Rattle Road\KW45\[Open Defects into Rattle Test Daily KW45D3.xlsx]BY73X - Assembly (PM)'!$C$6</v>
      </c>
      <c r="K48" s="7" t="str">
        <f t="shared" si="32"/>
        <v>=(SUMPRODUCT(('X:\BY7xx Shared Management Information\5. BY731 Line_Subs_Final  2018\01 Mike Gaffney\Quality\DPV Into Rattle Road\KW45\[Open Defects into Rattle Test Daily KW45D3.xlsx]BY73X - Assembly (PM)'!$I:$I="Paintshop")+0)+SUMPRODUCT(('X:\BY7xx Shared Management Information\5. BY731 Line_Subs_Final  2018\01 Mike Gaffney\Quality\DPV Into Rattle Road\KW45\[Open Defects into Rattle Test Daily KW45D3.xlsx]BY73X - Assembly (PM)'!$I:$I="Paint")+0))/'X:\BY7xx Shared Management Information\5. BY731 Line_Subs_Final  2018\01 Mike Gaffney\Quality\DPV Into Rattle Road\KW45\[Open Defects into Rattle Test Daily KW45D3.xlsx]BY73X - Assembly (PM)'!$C$4</v>
      </c>
      <c r="L48" s="7" t="str">
        <f t="shared" si="33"/>
        <v>=(SUMPRODUCT(('X:\BY7xx Shared Management Information\5. BY731 Line_Subs_Final  2018\01 Mike Gaffney\Quality\DPV Into Rattle Road\KW45\[Open Defects into Rattle Test Daily KW45D3.xlsx]BY73X - Assembly (PM)'!$I:$I="Car Locked")+0))/'X:\BY7xx Shared Management Information\5. BY731 Line_Subs_Final  2018\01 Mike Gaffney\Quality\DPV Into Rattle Road\KW45\[Open Defects into Rattle Test Daily KW45D3.xlsx]BY73X - Assembly (PM)'!$C$4</v>
      </c>
      <c r="M48" s="8" t="e">
        <f t="shared" si="19"/>
        <v>#VALUE!</v>
      </c>
      <c r="N48" s="6" t="str">
        <f t="shared" si="41"/>
        <v>='X:\BY7xx Shared Management Information\5. BY731 Line_Subs_Final  2018\01 Mike Gaffney\Quality\DPV Into Rattle Road\KW45\[Open Defects into Rattle Test Daily KW45D4.xlsx]BY73X - Assembly (PM)'!$C$6</v>
      </c>
      <c r="O48" s="7" t="str">
        <f t="shared" si="34"/>
        <v>=(SUMPRODUCT(('X:\BY7xx Shared Management Information\5. BY731 Line_Subs_Final  2018\01 Mike Gaffney\Quality\DPV Into Rattle Road\KW45\[Open Defects into Rattle Test Daily KW45D4.xlsx]BY73X - Assembly (PM)'!$I:$I="Paintshop")+0)+SUMPRODUCT(('X:\BY7xx Shared Management Information\5. BY731 Line_Subs_Final  2018\01 Mike Gaffney\Quality\DPV Into Rattle Road\KW45\[Open Defects into Rattle Test Daily KW45D4.xlsx]BY73X - Assembly (PM)'!$I:$I="Paint")+0))/'X:\BY7xx Shared Management Information\5. BY731 Line_Subs_Final  2018\01 Mike Gaffney\Quality\DPV Into Rattle Road\KW45\[Open Defects into Rattle Test Daily KW45D4.xlsx]BY73X - Assembly (PM)'!$C$4</v>
      </c>
      <c r="P48" s="7" t="str">
        <f t="shared" si="35"/>
        <v>=(SUMPRODUCT(('X:\BY7xx Shared Management Information\5. BY731 Line_Subs_Final  2018\01 Mike Gaffney\Quality\DPV Into Rattle Road\KW45\[Open Defects into Rattle Test Daily KW45D4.xlsx]BY73X - Assembly (PM)'!$I:$I="Car Locked")+0))/'X:\BY7xx Shared Management Information\5. BY731 Line_Subs_Final  2018\01 Mike Gaffney\Quality\DPV Into Rattle Road\KW45\[Open Defects into Rattle Test Daily KW45D4.xlsx]BY73X - Assembly (PM)'!$C$4</v>
      </c>
      <c r="Q48" s="8" t="e">
        <f t="shared" si="20"/>
        <v>#VALUE!</v>
      </c>
      <c r="R48" s="6" t="str">
        <f t="shared" si="41"/>
        <v>='X:\BY7xx Shared Management Information\5. BY731 Line_Subs_Final  2018\01 Mike Gaffney\Quality\DPV Into Rattle Road\KW45\[Open Defects into Rattle Test Daily KW45D5.xlsx]BY73X - Assembly (PM)'!$C$6</v>
      </c>
      <c r="S48" s="7" t="str">
        <f t="shared" si="36"/>
        <v>=(SUMPRODUCT(('X:\BY7xx Shared Management Information\5. BY731 Line_Subs_Final  2018\01 Mike Gaffney\Quality\DPV Into Rattle Road\KW45\[Open Defects into Rattle Test Daily KW45D5.xlsx]BY73X - Assembly (PM)'!$I:$I="Paintshop")+0)+SUMPRODUCT(('X:\BY7xx Shared Management Information\5. BY731 Line_Subs_Final  2018\01 Mike Gaffney\Quality\DPV Into Rattle Road\KW45\[Open Defects into Rattle Test Daily KW45D5.xlsx]BY73X - Assembly (PM)'!$I:$I="Paint")+0))/'X:\BY7xx Shared Management Information\5. BY731 Line_Subs_Final  2018\01 Mike Gaffney\Quality\DPV Into Rattle Road\KW45\[Open Defects into Rattle Test Daily KW45D5.xlsx]BY73X - Assembly (PM)'!$C$4</v>
      </c>
      <c r="T48" s="7" t="str">
        <f t="shared" si="37"/>
        <v>=(SUMPRODUCT(('X:\BY7xx Shared Management Information\5. BY731 Line_Subs_Final  2018\01 Mike Gaffney\Quality\DPV Into Rattle Road\KW45\[Open Defects into Rattle Test Daily KW45D5.xlsx]BY73X - Assembly (PM)'!$I:$I="Car Locked")+0))/'X:\BY7xx Shared Management Information\5. BY731 Line_Subs_Final  2018\01 Mike Gaffney\Quality\DPV Into Rattle Road\KW45\[Open Defects into Rattle Test Daily KW45D5.xlsx]BY73X - Assembly (PM)'!$C$4</v>
      </c>
      <c r="U48" s="8" t="e">
        <f t="shared" si="21"/>
        <v>#VALUE!</v>
      </c>
      <c r="V48" t="e">
        <f t="shared" si="22"/>
        <v>#DIV/0!</v>
      </c>
      <c r="W48" t="e">
        <f t="shared" si="23"/>
        <v>#DIV/0!</v>
      </c>
      <c r="X48" t="e">
        <f t="shared" si="24"/>
        <v>#DIV/0!</v>
      </c>
      <c r="Y48" t="e">
        <f t="shared" si="25"/>
        <v>#VALUE!</v>
      </c>
      <c r="Z48" s="3">
        <v>1.57</v>
      </c>
    </row>
    <row r="49" spans="1:26" x14ac:dyDescent="0.2">
      <c r="A49" t="s">
        <v>50</v>
      </c>
      <c r="B49" s="6" t="str">
        <f t="shared" si="38"/>
        <v>='X:\BY7xx Shared Management Information\5. BY731 Line_Subs_Final  2018\01 Mike Gaffney\Quality\DPV Into Rattle Road\KW46\[Open Defects into Rattle Test Daily KW46D1.xlsx]BY73X - Assembly (PM)'!$C$6</v>
      </c>
      <c r="C49" s="7" t="str">
        <f t="shared" si="28"/>
        <v>=(SUMPRODUCT(('X:\BY7xx Shared Management Information\5. BY731 Line_Subs_Final  2018\01 Mike Gaffney\Quality\DPV Into Rattle Road\KW46\[Open Defects into Rattle Test Daily KW46D1.xlsx]BY73X - Assembly (PM)'!$I:$I="Paintshop")+0)+SUMPRODUCT(('X:\BY7xx Shared Management Information\5. BY731 Line_Subs_Final  2018\01 Mike Gaffney\Quality\DPV Into Rattle Road\KW46\[Open Defects into Rattle Test Daily KW46D1.xlsx]BY73X - Assembly (PM)'!$I:$I="Paint")+0))/'X:\BY7xx Shared Management Information\5. BY731 Line_Subs_Final  2018\01 Mike Gaffney\Quality\DPV Into Rattle Road\KW46\[Open Defects into Rattle Test Daily KW46D1.xlsx]BY73X - Assembly (PM)'!$C$4</v>
      </c>
      <c r="D49" s="7" t="str">
        <f t="shared" si="29"/>
        <v>=(SUMPRODUCT(('X:\BY7xx Shared Management Information\5. BY731 Line_Subs_Final  2018\01 Mike Gaffney\Quality\DPV Into Rattle Road\KW46\[Open Defects into Rattle Test Daily KW46D1.xlsx]BY73X - Assembly (PM)'!$I:$I="Car Locked")+0))/'X:\BY7xx Shared Management Information\5. BY731 Line_Subs_Final  2018\01 Mike Gaffney\Quality\DPV Into Rattle Road\KW46\[Open Defects into Rattle Test Daily KW46D1.xlsx]BY73X - Assembly (PM)'!$C$4</v>
      </c>
      <c r="E49" s="8" t="e">
        <f t="shared" si="17"/>
        <v>#VALUE!</v>
      </c>
      <c r="F49" s="6" t="str">
        <f t="shared" si="39"/>
        <v>='X:\BY7xx Shared Management Information\5. BY731 Line_Subs_Final  2018\01 Mike Gaffney\Quality\DPV Into Rattle Road\KW46\[Open Defects into Rattle Test Daily KW46D2.xlsx]BY73X - Assembly (PM)'!$C$6</v>
      </c>
      <c r="G49" s="7" t="str">
        <f t="shared" si="30"/>
        <v>=(SUMPRODUCT(('X:\BY7xx Shared Management Information\5. BY731 Line_Subs_Final  2018\01 Mike Gaffney\Quality\DPV Into Rattle Road\KW46\[Open Defects into Rattle Test Daily KW46D2.xlsx]BY73X - Assembly (PM)'!$I:$I="Paintshop")+0)+SUMPRODUCT(('X:\BY7xx Shared Management Information\5. BY731 Line_Subs_Final  2018\01 Mike Gaffney\Quality\DPV Into Rattle Road\KW46\[Open Defects into Rattle Test Daily KW46D2.xlsx]BY73X - Assembly (PM)'!$I:$I="Paint")+0))/'X:\BY7xx Shared Management Information\5. BY731 Line_Subs_Final  2018\01 Mike Gaffney\Quality\DPV Into Rattle Road\KW46\[Open Defects into Rattle Test Daily KW46D2.xlsx]BY73X - Assembly (PM)'!$C$4</v>
      </c>
      <c r="H49" s="7" t="str">
        <f t="shared" si="31"/>
        <v>=(SUMPRODUCT(('X:\BY7xx Shared Management Information\5. BY731 Line_Subs_Final  2018\01 Mike Gaffney\Quality\DPV Into Rattle Road\KW46\[Open Defects into Rattle Test Daily KW46D2.xlsx]BY73X - Assembly (PM)'!$I:$I="Car Locked")+0))/'X:\BY7xx Shared Management Information\5. BY731 Line_Subs_Final  2018\01 Mike Gaffney\Quality\DPV Into Rattle Road\KW46\[Open Defects into Rattle Test Daily KW46D2.xlsx]BY73X - Assembly (PM)'!$C$4</v>
      </c>
      <c r="I49" s="8" t="e">
        <f t="shared" si="18"/>
        <v>#VALUE!</v>
      </c>
      <c r="J49" s="6" t="str">
        <f t="shared" si="40"/>
        <v>='X:\BY7xx Shared Management Information\5. BY731 Line_Subs_Final  2018\01 Mike Gaffney\Quality\DPV Into Rattle Road\KW46\[Open Defects into Rattle Test Daily KW46D3.xlsx]BY73X - Assembly (PM)'!$C$6</v>
      </c>
      <c r="K49" s="7" t="str">
        <f t="shared" si="32"/>
        <v>=(SUMPRODUCT(('X:\BY7xx Shared Management Information\5. BY731 Line_Subs_Final  2018\01 Mike Gaffney\Quality\DPV Into Rattle Road\KW46\[Open Defects into Rattle Test Daily KW46D3.xlsx]BY73X - Assembly (PM)'!$I:$I="Paintshop")+0)+SUMPRODUCT(('X:\BY7xx Shared Management Information\5. BY731 Line_Subs_Final  2018\01 Mike Gaffney\Quality\DPV Into Rattle Road\KW46\[Open Defects into Rattle Test Daily KW46D3.xlsx]BY73X - Assembly (PM)'!$I:$I="Paint")+0))/'X:\BY7xx Shared Management Information\5. BY731 Line_Subs_Final  2018\01 Mike Gaffney\Quality\DPV Into Rattle Road\KW46\[Open Defects into Rattle Test Daily KW46D3.xlsx]BY73X - Assembly (PM)'!$C$4</v>
      </c>
      <c r="L49" s="7" t="str">
        <f t="shared" si="33"/>
        <v>=(SUMPRODUCT(('X:\BY7xx Shared Management Information\5. BY731 Line_Subs_Final  2018\01 Mike Gaffney\Quality\DPV Into Rattle Road\KW46\[Open Defects into Rattle Test Daily KW46D3.xlsx]BY73X - Assembly (PM)'!$I:$I="Car Locked")+0))/'X:\BY7xx Shared Management Information\5. BY731 Line_Subs_Final  2018\01 Mike Gaffney\Quality\DPV Into Rattle Road\KW46\[Open Defects into Rattle Test Daily KW46D3.xlsx]BY73X - Assembly (PM)'!$C$4</v>
      </c>
      <c r="M49" s="8" t="e">
        <f t="shared" si="19"/>
        <v>#VALUE!</v>
      </c>
      <c r="N49" s="6" t="str">
        <f t="shared" si="41"/>
        <v>='X:\BY7xx Shared Management Information\5. BY731 Line_Subs_Final  2018\01 Mike Gaffney\Quality\DPV Into Rattle Road\KW46\[Open Defects into Rattle Test Daily KW46D4.xlsx]BY73X - Assembly (PM)'!$C$6</v>
      </c>
      <c r="O49" s="7" t="str">
        <f t="shared" si="34"/>
        <v>=(SUMPRODUCT(('X:\BY7xx Shared Management Information\5. BY731 Line_Subs_Final  2018\01 Mike Gaffney\Quality\DPV Into Rattle Road\KW46\[Open Defects into Rattle Test Daily KW46D4.xlsx]BY73X - Assembly (PM)'!$I:$I="Paintshop")+0)+SUMPRODUCT(('X:\BY7xx Shared Management Information\5. BY731 Line_Subs_Final  2018\01 Mike Gaffney\Quality\DPV Into Rattle Road\KW46\[Open Defects into Rattle Test Daily KW46D4.xlsx]BY73X - Assembly (PM)'!$I:$I="Paint")+0))/'X:\BY7xx Shared Management Information\5. BY731 Line_Subs_Final  2018\01 Mike Gaffney\Quality\DPV Into Rattle Road\KW46\[Open Defects into Rattle Test Daily KW46D4.xlsx]BY73X - Assembly (PM)'!$C$4</v>
      </c>
      <c r="P49" s="7" t="str">
        <f t="shared" si="35"/>
        <v>=(SUMPRODUCT(('X:\BY7xx Shared Management Information\5. BY731 Line_Subs_Final  2018\01 Mike Gaffney\Quality\DPV Into Rattle Road\KW46\[Open Defects into Rattle Test Daily KW46D4.xlsx]BY73X - Assembly (PM)'!$I:$I="Car Locked")+0))/'X:\BY7xx Shared Management Information\5. BY731 Line_Subs_Final  2018\01 Mike Gaffney\Quality\DPV Into Rattle Road\KW46\[Open Defects into Rattle Test Daily KW46D4.xlsx]BY73X - Assembly (PM)'!$C$4</v>
      </c>
      <c r="Q49" s="8" t="e">
        <f t="shared" si="20"/>
        <v>#VALUE!</v>
      </c>
      <c r="R49" s="6" t="str">
        <f t="shared" si="41"/>
        <v>='X:\BY7xx Shared Management Information\5. BY731 Line_Subs_Final  2018\01 Mike Gaffney\Quality\DPV Into Rattle Road\KW46\[Open Defects into Rattle Test Daily KW46D5.xlsx]BY73X - Assembly (PM)'!$C$6</v>
      </c>
      <c r="S49" s="7" t="str">
        <f t="shared" si="36"/>
        <v>=(SUMPRODUCT(('X:\BY7xx Shared Management Information\5. BY731 Line_Subs_Final  2018\01 Mike Gaffney\Quality\DPV Into Rattle Road\KW46\[Open Defects into Rattle Test Daily KW46D5.xlsx]BY73X - Assembly (PM)'!$I:$I="Paintshop")+0)+SUMPRODUCT(('X:\BY7xx Shared Management Information\5. BY731 Line_Subs_Final  2018\01 Mike Gaffney\Quality\DPV Into Rattle Road\KW46\[Open Defects into Rattle Test Daily KW46D5.xlsx]BY73X - Assembly (PM)'!$I:$I="Paint")+0))/'X:\BY7xx Shared Management Information\5. BY731 Line_Subs_Final  2018\01 Mike Gaffney\Quality\DPV Into Rattle Road\KW46\[Open Defects into Rattle Test Daily KW46D5.xlsx]BY73X - Assembly (PM)'!$C$4</v>
      </c>
      <c r="T49" s="7" t="str">
        <f t="shared" si="37"/>
        <v>=(SUMPRODUCT(('X:\BY7xx Shared Management Information\5. BY731 Line_Subs_Final  2018\01 Mike Gaffney\Quality\DPV Into Rattle Road\KW46\[Open Defects into Rattle Test Daily KW46D5.xlsx]BY73X - Assembly (PM)'!$I:$I="Car Locked")+0))/'X:\BY7xx Shared Management Information\5. BY731 Line_Subs_Final  2018\01 Mike Gaffney\Quality\DPV Into Rattle Road\KW46\[Open Defects into Rattle Test Daily KW46D5.xlsx]BY73X - Assembly (PM)'!$C$4</v>
      </c>
      <c r="U49" s="8" t="e">
        <f t="shared" si="21"/>
        <v>#VALUE!</v>
      </c>
      <c r="V49" t="e">
        <f t="shared" si="22"/>
        <v>#DIV/0!</v>
      </c>
      <c r="W49" t="e">
        <f t="shared" si="23"/>
        <v>#DIV/0!</v>
      </c>
      <c r="X49" t="e">
        <f t="shared" si="24"/>
        <v>#DIV/0!</v>
      </c>
      <c r="Y49" t="e">
        <f t="shared" si="25"/>
        <v>#VALUE!</v>
      </c>
      <c r="Z49" s="3">
        <v>1.57</v>
      </c>
    </row>
    <row r="50" spans="1:26" x14ac:dyDescent="0.2">
      <c r="A50" t="s">
        <v>51</v>
      </c>
      <c r="B50" s="6" t="str">
        <f t="shared" si="38"/>
        <v>='X:\BY7xx Shared Management Information\5. BY731 Line_Subs_Final  2018\01 Mike Gaffney\Quality\DPV Into Rattle Road\KW47\[Open Defects into Rattle Test Daily KW47D1.xlsx]BY73X - Assembly (PM)'!$C$6</v>
      </c>
      <c r="C50" s="7" t="str">
        <f t="shared" si="28"/>
        <v>=(SUMPRODUCT(('X:\BY7xx Shared Management Information\5. BY731 Line_Subs_Final  2018\01 Mike Gaffney\Quality\DPV Into Rattle Road\KW47\[Open Defects into Rattle Test Daily KW47D1.xlsx]BY73X - Assembly (PM)'!$I:$I="Paintshop")+0)+SUMPRODUCT(('X:\BY7xx Shared Management Information\5. BY731 Line_Subs_Final  2018\01 Mike Gaffney\Quality\DPV Into Rattle Road\KW47\[Open Defects into Rattle Test Daily KW47D1.xlsx]BY73X - Assembly (PM)'!$I:$I="Paint")+0))/'X:\BY7xx Shared Management Information\5. BY731 Line_Subs_Final  2018\01 Mike Gaffney\Quality\DPV Into Rattle Road\KW47\[Open Defects into Rattle Test Daily KW47D1.xlsx]BY73X - Assembly (PM)'!$C$4</v>
      </c>
      <c r="D50" s="7" t="str">
        <f t="shared" si="29"/>
        <v>=(SUMPRODUCT(('X:\BY7xx Shared Management Information\5. BY731 Line_Subs_Final  2018\01 Mike Gaffney\Quality\DPV Into Rattle Road\KW47\[Open Defects into Rattle Test Daily KW47D1.xlsx]BY73X - Assembly (PM)'!$I:$I="Car Locked")+0))/'X:\BY7xx Shared Management Information\5. BY731 Line_Subs_Final  2018\01 Mike Gaffney\Quality\DPV Into Rattle Road\KW47\[Open Defects into Rattle Test Daily KW47D1.xlsx]BY73X - Assembly (PM)'!$C$4</v>
      </c>
      <c r="E50" s="8" t="e">
        <f t="shared" si="17"/>
        <v>#VALUE!</v>
      </c>
      <c r="F50" s="6" t="str">
        <f t="shared" si="39"/>
        <v>='X:\BY7xx Shared Management Information\5. BY731 Line_Subs_Final  2018\01 Mike Gaffney\Quality\DPV Into Rattle Road\KW47\[Open Defects into Rattle Test Daily KW47D2.xlsx]BY73X - Assembly (PM)'!$C$6</v>
      </c>
      <c r="G50" s="7" t="str">
        <f t="shared" si="30"/>
        <v>=(SUMPRODUCT(('X:\BY7xx Shared Management Information\5. BY731 Line_Subs_Final  2018\01 Mike Gaffney\Quality\DPV Into Rattle Road\KW47\[Open Defects into Rattle Test Daily KW47D2.xlsx]BY73X - Assembly (PM)'!$I:$I="Paintshop")+0)+SUMPRODUCT(('X:\BY7xx Shared Management Information\5. BY731 Line_Subs_Final  2018\01 Mike Gaffney\Quality\DPV Into Rattle Road\KW47\[Open Defects into Rattle Test Daily KW47D2.xlsx]BY73X - Assembly (PM)'!$I:$I="Paint")+0))/'X:\BY7xx Shared Management Information\5. BY731 Line_Subs_Final  2018\01 Mike Gaffney\Quality\DPV Into Rattle Road\KW47\[Open Defects into Rattle Test Daily KW47D2.xlsx]BY73X - Assembly (PM)'!$C$4</v>
      </c>
      <c r="H50" s="7" t="str">
        <f t="shared" si="31"/>
        <v>=(SUMPRODUCT(('X:\BY7xx Shared Management Information\5. BY731 Line_Subs_Final  2018\01 Mike Gaffney\Quality\DPV Into Rattle Road\KW47\[Open Defects into Rattle Test Daily KW47D2.xlsx]BY73X - Assembly (PM)'!$I:$I="Car Locked")+0))/'X:\BY7xx Shared Management Information\5. BY731 Line_Subs_Final  2018\01 Mike Gaffney\Quality\DPV Into Rattle Road\KW47\[Open Defects into Rattle Test Daily KW47D2.xlsx]BY73X - Assembly (PM)'!$C$4</v>
      </c>
      <c r="I50" s="8" t="e">
        <f t="shared" si="18"/>
        <v>#VALUE!</v>
      </c>
      <c r="J50" s="6" t="str">
        <f t="shared" si="40"/>
        <v>='X:\BY7xx Shared Management Information\5. BY731 Line_Subs_Final  2018\01 Mike Gaffney\Quality\DPV Into Rattle Road\KW47\[Open Defects into Rattle Test Daily KW47D3.xlsx]BY73X - Assembly (PM)'!$C$6</v>
      </c>
      <c r="K50" s="7" t="str">
        <f t="shared" si="32"/>
        <v>=(SUMPRODUCT(('X:\BY7xx Shared Management Information\5. BY731 Line_Subs_Final  2018\01 Mike Gaffney\Quality\DPV Into Rattle Road\KW47\[Open Defects into Rattle Test Daily KW47D3.xlsx]BY73X - Assembly (PM)'!$I:$I="Paintshop")+0)+SUMPRODUCT(('X:\BY7xx Shared Management Information\5. BY731 Line_Subs_Final  2018\01 Mike Gaffney\Quality\DPV Into Rattle Road\KW47\[Open Defects into Rattle Test Daily KW47D3.xlsx]BY73X - Assembly (PM)'!$I:$I="Paint")+0))/'X:\BY7xx Shared Management Information\5. BY731 Line_Subs_Final  2018\01 Mike Gaffney\Quality\DPV Into Rattle Road\KW47\[Open Defects into Rattle Test Daily KW47D3.xlsx]BY73X - Assembly (PM)'!$C$4</v>
      </c>
      <c r="L50" s="7" t="str">
        <f t="shared" si="33"/>
        <v>=(SUMPRODUCT(('X:\BY7xx Shared Management Information\5. BY731 Line_Subs_Final  2018\01 Mike Gaffney\Quality\DPV Into Rattle Road\KW47\[Open Defects into Rattle Test Daily KW47D3.xlsx]BY73X - Assembly (PM)'!$I:$I="Car Locked")+0))/'X:\BY7xx Shared Management Information\5. BY731 Line_Subs_Final  2018\01 Mike Gaffney\Quality\DPV Into Rattle Road\KW47\[Open Defects into Rattle Test Daily KW47D3.xlsx]BY73X - Assembly (PM)'!$C$4</v>
      </c>
      <c r="M50" s="8" t="e">
        <f t="shared" si="19"/>
        <v>#VALUE!</v>
      </c>
      <c r="N50" s="6" t="str">
        <f t="shared" si="41"/>
        <v>='X:\BY7xx Shared Management Information\5. BY731 Line_Subs_Final  2018\01 Mike Gaffney\Quality\DPV Into Rattle Road\KW47\[Open Defects into Rattle Test Daily KW47D4.xlsx]BY73X - Assembly (PM)'!$C$6</v>
      </c>
      <c r="O50" s="7" t="str">
        <f t="shared" si="34"/>
        <v>=(SUMPRODUCT(('X:\BY7xx Shared Management Information\5. BY731 Line_Subs_Final  2018\01 Mike Gaffney\Quality\DPV Into Rattle Road\KW47\[Open Defects into Rattle Test Daily KW47D4.xlsx]BY73X - Assembly (PM)'!$I:$I="Paintshop")+0)+SUMPRODUCT(('X:\BY7xx Shared Management Information\5. BY731 Line_Subs_Final  2018\01 Mike Gaffney\Quality\DPV Into Rattle Road\KW47\[Open Defects into Rattle Test Daily KW47D4.xlsx]BY73X - Assembly (PM)'!$I:$I="Paint")+0))/'X:\BY7xx Shared Management Information\5. BY731 Line_Subs_Final  2018\01 Mike Gaffney\Quality\DPV Into Rattle Road\KW47\[Open Defects into Rattle Test Daily KW47D4.xlsx]BY73X - Assembly (PM)'!$C$4</v>
      </c>
      <c r="P50" s="7" t="str">
        <f t="shared" si="35"/>
        <v>=(SUMPRODUCT(('X:\BY7xx Shared Management Information\5. BY731 Line_Subs_Final  2018\01 Mike Gaffney\Quality\DPV Into Rattle Road\KW47\[Open Defects into Rattle Test Daily KW47D4.xlsx]BY73X - Assembly (PM)'!$I:$I="Car Locked")+0))/'X:\BY7xx Shared Management Information\5. BY731 Line_Subs_Final  2018\01 Mike Gaffney\Quality\DPV Into Rattle Road\KW47\[Open Defects into Rattle Test Daily KW47D4.xlsx]BY73X - Assembly (PM)'!$C$4</v>
      </c>
      <c r="Q50" s="8" t="e">
        <f t="shared" si="20"/>
        <v>#VALUE!</v>
      </c>
      <c r="R50" s="6" t="str">
        <f t="shared" si="41"/>
        <v>='X:\BY7xx Shared Management Information\5. BY731 Line_Subs_Final  2018\01 Mike Gaffney\Quality\DPV Into Rattle Road\KW47\[Open Defects into Rattle Test Daily KW47D5.xlsx]BY73X - Assembly (PM)'!$C$6</v>
      </c>
      <c r="S50" s="7" t="str">
        <f t="shared" si="36"/>
        <v>=(SUMPRODUCT(('X:\BY7xx Shared Management Information\5. BY731 Line_Subs_Final  2018\01 Mike Gaffney\Quality\DPV Into Rattle Road\KW47\[Open Defects into Rattle Test Daily KW47D5.xlsx]BY73X - Assembly (PM)'!$I:$I="Paintshop")+0)+SUMPRODUCT(('X:\BY7xx Shared Management Information\5. BY731 Line_Subs_Final  2018\01 Mike Gaffney\Quality\DPV Into Rattle Road\KW47\[Open Defects into Rattle Test Daily KW47D5.xlsx]BY73X - Assembly (PM)'!$I:$I="Paint")+0))/'X:\BY7xx Shared Management Information\5. BY731 Line_Subs_Final  2018\01 Mike Gaffney\Quality\DPV Into Rattle Road\KW47\[Open Defects into Rattle Test Daily KW47D5.xlsx]BY73X - Assembly (PM)'!$C$4</v>
      </c>
      <c r="T50" s="7" t="str">
        <f t="shared" si="37"/>
        <v>=(SUMPRODUCT(('X:\BY7xx Shared Management Information\5. BY731 Line_Subs_Final  2018\01 Mike Gaffney\Quality\DPV Into Rattle Road\KW47\[Open Defects into Rattle Test Daily KW47D5.xlsx]BY73X - Assembly (PM)'!$I:$I="Car Locked")+0))/'X:\BY7xx Shared Management Information\5. BY731 Line_Subs_Final  2018\01 Mike Gaffney\Quality\DPV Into Rattle Road\KW47\[Open Defects into Rattle Test Daily KW47D5.xlsx]BY73X - Assembly (PM)'!$C$4</v>
      </c>
      <c r="U50" s="8" t="e">
        <f t="shared" si="21"/>
        <v>#VALUE!</v>
      </c>
      <c r="V50" t="e">
        <f t="shared" si="22"/>
        <v>#DIV/0!</v>
      </c>
      <c r="W50" t="e">
        <f t="shared" si="23"/>
        <v>#DIV/0!</v>
      </c>
      <c r="X50" t="e">
        <f t="shared" si="24"/>
        <v>#DIV/0!</v>
      </c>
      <c r="Y50" t="e">
        <f t="shared" si="25"/>
        <v>#VALUE!</v>
      </c>
      <c r="Z50" s="3">
        <v>1.57</v>
      </c>
    </row>
    <row r="51" spans="1:26" x14ac:dyDescent="0.2">
      <c r="A51" t="s">
        <v>52</v>
      </c>
      <c r="B51" s="6" t="str">
        <f t="shared" si="38"/>
        <v>='X:\BY7xx Shared Management Information\5. BY731 Line_Subs_Final  2018\01 Mike Gaffney\Quality\DPV Into Rattle Road\KW48\[Open Defects into Rattle Test Daily KW48D1.xlsx]BY73X - Assembly (PM)'!$C$6</v>
      </c>
      <c r="C51" s="7" t="str">
        <f t="shared" si="28"/>
        <v>=(SUMPRODUCT(('X:\BY7xx Shared Management Information\5. BY731 Line_Subs_Final  2018\01 Mike Gaffney\Quality\DPV Into Rattle Road\KW48\[Open Defects into Rattle Test Daily KW48D1.xlsx]BY73X - Assembly (PM)'!$I:$I="Paintshop")+0)+SUMPRODUCT(('X:\BY7xx Shared Management Information\5. BY731 Line_Subs_Final  2018\01 Mike Gaffney\Quality\DPV Into Rattle Road\KW48\[Open Defects into Rattle Test Daily KW48D1.xlsx]BY73X - Assembly (PM)'!$I:$I="Paint")+0))/'X:\BY7xx Shared Management Information\5. BY731 Line_Subs_Final  2018\01 Mike Gaffney\Quality\DPV Into Rattle Road\KW48\[Open Defects into Rattle Test Daily KW48D1.xlsx]BY73X - Assembly (PM)'!$C$4</v>
      </c>
      <c r="D51" s="7" t="str">
        <f t="shared" si="29"/>
        <v>=(SUMPRODUCT(('X:\BY7xx Shared Management Information\5. BY731 Line_Subs_Final  2018\01 Mike Gaffney\Quality\DPV Into Rattle Road\KW48\[Open Defects into Rattle Test Daily KW48D1.xlsx]BY73X - Assembly (PM)'!$I:$I="Car Locked")+0))/'X:\BY7xx Shared Management Information\5. BY731 Line_Subs_Final  2018\01 Mike Gaffney\Quality\DPV Into Rattle Road\KW48\[Open Defects into Rattle Test Daily KW48D1.xlsx]BY73X - Assembly (PM)'!$C$4</v>
      </c>
      <c r="E51" s="8" t="e">
        <f t="shared" si="17"/>
        <v>#VALUE!</v>
      </c>
      <c r="F51" s="6" t="str">
        <f t="shared" si="39"/>
        <v>='X:\BY7xx Shared Management Information\5. BY731 Line_Subs_Final  2018\01 Mike Gaffney\Quality\DPV Into Rattle Road\KW48\[Open Defects into Rattle Test Daily KW48D2.xlsx]BY73X - Assembly (PM)'!$C$6</v>
      </c>
      <c r="G51" s="7" t="str">
        <f t="shared" si="30"/>
        <v>=(SUMPRODUCT(('X:\BY7xx Shared Management Information\5. BY731 Line_Subs_Final  2018\01 Mike Gaffney\Quality\DPV Into Rattle Road\KW48\[Open Defects into Rattle Test Daily KW48D2.xlsx]BY73X - Assembly (PM)'!$I:$I="Paintshop")+0)+SUMPRODUCT(('X:\BY7xx Shared Management Information\5. BY731 Line_Subs_Final  2018\01 Mike Gaffney\Quality\DPV Into Rattle Road\KW48\[Open Defects into Rattle Test Daily KW48D2.xlsx]BY73X - Assembly (PM)'!$I:$I="Paint")+0))/'X:\BY7xx Shared Management Information\5. BY731 Line_Subs_Final  2018\01 Mike Gaffney\Quality\DPV Into Rattle Road\KW48\[Open Defects into Rattle Test Daily KW48D2.xlsx]BY73X - Assembly (PM)'!$C$4</v>
      </c>
      <c r="H51" s="7" t="str">
        <f t="shared" si="31"/>
        <v>=(SUMPRODUCT(('X:\BY7xx Shared Management Information\5. BY731 Line_Subs_Final  2018\01 Mike Gaffney\Quality\DPV Into Rattle Road\KW48\[Open Defects into Rattle Test Daily KW48D2.xlsx]BY73X - Assembly (PM)'!$I:$I="Car Locked")+0))/'X:\BY7xx Shared Management Information\5. BY731 Line_Subs_Final  2018\01 Mike Gaffney\Quality\DPV Into Rattle Road\KW48\[Open Defects into Rattle Test Daily KW48D2.xlsx]BY73X - Assembly (PM)'!$C$4</v>
      </c>
      <c r="I51" s="8" t="e">
        <f t="shared" si="18"/>
        <v>#VALUE!</v>
      </c>
      <c r="J51" s="6" t="str">
        <f t="shared" si="40"/>
        <v>='X:\BY7xx Shared Management Information\5. BY731 Line_Subs_Final  2018\01 Mike Gaffney\Quality\DPV Into Rattle Road\KW48\[Open Defects into Rattle Test Daily KW48D3.xlsx]BY73X - Assembly (PM)'!$C$6</v>
      </c>
      <c r="K51" s="7" t="str">
        <f t="shared" si="32"/>
        <v>=(SUMPRODUCT(('X:\BY7xx Shared Management Information\5. BY731 Line_Subs_Final  2018\01 Mike Gaffney\Quality\DPV Into Rattle Road\KW48\[Open Defects into Rattle Test Daily KW48D3.xlsx]BY73X - Assembly (PM)'!$I:$I="Paintshop")+0)+SUMPRODUCT(('X:\BY7xx Shared Management Information\5. BY731 Line_Subs_Final  2018\01 Mike Gaffney\Quality\DPV Into Rattle Road\KW48\[Open Defects into Rattle Test Daily KW48D3.xlsx]BY73X - Assembly (PM)'!$I:$I="Paint")+0))/'X:\BY7xx Shared Management Information\5. BY731 Line_Subs_Final  2018\01 Mike Gaffney\Quality\DPV Into Rattle Road\KW48\[Open Defects into Rattle Test Daily KW48D3.xlsx]BY73X - Assembly (PM)'!$C$4</v>
      </c>
      <c r="L51" s="7" t="str">
        <f t="shared" si="33"/>
        <v>=(SUMPRODUCT(('X:\BY7xx Shared Management Information\5. BY731 Line_Subs_Final  2018\01 Mike Gaffney\Quality\DPV Into Rattle Road\KW48\[Open Defects into Rattle Test Daily KW48D3.xlsx]BY73X - Assembly (PM)'!$I:$I="Car Locked")+0))/'X:\BY7xx Shared Management Information\5. BY731 Line_Subs_Final  2018\01 Mike Gaffney\Quality\DPV Into Rattle Road\KW48\[Open Defects into Rattle Test Daily KW48D3.xlsx]BY73X - Assembly (PM)'!$C$4</v>
      </c>
      <c r="M51" s="8" t="e">
        <f t="shared" si="19"/>
        <v>#VALUE!</v>
      </c>
      <c r="N51" s="6" t="str">
        <f t="shared" si="41"/>
        <v>='X:\BY7xx Shared Management Information\5. BY731 Line_Subs_Final  2018\01 Mike Gaffney\Quality\DPV Into Rattle Road\KW48\[Open Defects into Rattle Test Daily KW48D4.xlsx]BY73X - Assembly (PM)'!$C$6</v>
      </c>
      <c r="O51" s="7" t="str">
        <f t="shared" si="34"/>
        <v>=(SUMPRODUCT(('X:\BY7xx Shared Management Information\5. BY731 Line_Subs_Final  2018\01 Mike Gaffney\Quality\DPV Into Rattle Road\KW48\[Open Defects into Rattle Test Daily KW48D4.xlsx]BY73X - Assembly (PM)'!$I:$I="Paintshop")+0)+SUMPRODUCT(('X:\BY7xx Shared Management Information\5. BY731 Line_Subs_Final  2018\01 Mike Gaffney\Quality\DPV Into Rattle Road\KW48\[Open Defects into Rattle Test Daily KW48D4.xlsx]BY73X - Assembly (PM)'!$I:$I="Paint")+0))/'X:\BY7xx Shared Management Information\5. BY731 Line_Subs_Final  2018\01 Mike Gaffney\Quality\DPV Into Rattle Road\KW48\[Open Defects into Rattle Test Daily KW48D4.xlsx]BY73X - Assembly (PM)'!$C$4</v>
      </c>
      <c r="P51" s="7" t="str">
        <f t="shared" si="35"/>
        <v>=(SUMPRODUCT(('X:\BY7xx Shared Management Information\5. BY731 Line_Subs_Final  2018\01 Mike Gaffney\Quality\DPV Into Rattle Road\KW48\[Open Defects into Rattle Test Daily KW48D4.xlsx]BY73X - Assembly (PM)'!$I:$I="Car Locked")+0))/'X:\BY7xx Shared Management Information\5. BY731 Line_Subs_Final  2018\01 Mike Gaffney\Quality\DPV Into Rattle Road\KW48\[Open Defects into Rattle Test Daily KW48D4.xlsx]BY73X - Assembly (PM)'!$C$4</v>
      </c>
      <c r="Q51" s="8" t="e">
        <f t="shared" si="20"/>
        <v>#VALUE!</v>
      </c>
      <c r="R51" s="6" t="str">
        <f t="shared" si="41"/>
        <v>='X:\BY7xx Shared Management Information\5. BY731 Line_Subs_Final  2018\01 Mike Gaffney\Quality\DPV Into Rattle Road\KW48\[Open Defects into Rattle Test Daily KW48D5.xlsx]BY73X - Assembly (PM)'!$C$6</v>
      </c>
      <c r="S51" s="7" t="str">
        <f t="shared" si="36"/>
        <v>=(SUMPRODUCT(('X:\BY7xx Shared Management Information\5. BY731 Line_Subs_Final  2018\01 Mike Gaffney\Quality\DPV Into Rattle Road\KW48\[Open Defects into Rattle Test Daily KW48D5.xlsx]BY73X - Assembly (PM)'!$I:$I="Paintshop")+0)+SUMPRODUCT(('X:\BY7xx Shared Management Information\5. BY731 Line_Subs_Final  2018\01 Mike Gaffney\Quality\DPV Into Rattle Road\KW48\[Open Defects into Rattle Test Daily KW48D5.xlsx]BY73X - Assembly (PM)'!$I:$I="Paint")+0))/'X:\BY7xx Shared Management Information\5. BY731 Line_Subs_Final  2018\01 Mike Gaffney\Quality\DPV Into Rattle Road\KW48\[Open Defects into Rattle Test Daily KW48D5.xlsx]BY73X - Assembly (PM)'!$C$4</v>
      </c>
      <c r="T51" s="7" t="str">
        <f t="shared" si="37"/>
        <v>=(SUMPRODUCT(('X:\BY7xx Shared Management Information\5. BY731 Line_Subs_Final  2018\01 Mike Gaffney\Quality\DPV Into Rattle Road\KW48\[Open Defects into Rattle Test Daily KW48D5.xlsx]BY73X - Assembly (PM)'!$I:$I="Car Locked")+0))/'X:\BY7xx Shared Management Information\5. BY731 Line_Subs_Final  2018\01 Mike Gaffney\Quality\DPV Into Rattle Road\KW48\[Open Defects into Rattle Test Daily KW48D5.xlsx]BY73X - Assembly (PM)'!$C$4</v>
      </c>
      <c r="U51" s="8" t="e">
        <f t="shared" si="21"/>
        <v>#VALUE!</v>
      </c>
      <c r="V51" t="e">
        <f t="shared" si="22"/>
        <v>#DIV/0!</v>
      </c>
      <c r="W51" t="e">
        <f t="shared" si="23"/>
        <v>#DIV/0!</v>
      </c>
      <c r="X51" t="e">
        <f t="shared" si="24"/>
        <v>#DIV/0!</v>
      </c>
      <c r="Y51" t="e">
        <f t="shared" si="25"/>
        <v>#VALUE!</v>
      </c>
      <c r="Z51" s="3">
        <v>1.57</v>
      </c>
    </row>
    <row r="52" spans="1:26" x14ac:dyDescent="0.2">
      <c r="A52" t="s">
        <v>53</v>
      </c>
      <c r="B52" s="6" t="str">
        <f t="shared" si="38"/>
        <v>='X:\BY7xx Shared Management Information\5. BY731 Line_Subs_Final  2018\01 Mike Gaffney\Quality\DPV Into Rattle Road\KW49\[Open Defects into Rattle Test Daily KW49D1.xlsx]BY73X - Assembly (PM)'!$C$6</v>
      </c>
      <c r="C52" s="7" t="str">
        <f t="shared" si="28"/>
        <v>=(SUMPRODUCT(('X:\BY7xx Shared Management Information\5. BY731 Line_Subs_Final  2018\01 Mike Gaffney\Quality\DPV Into Rattle Road\KW49\[Open Defects into Rattle Test Daily KW49D1.xlsx]BY73X - Assembly (PM)'!$I:$I="Paintshop")+0)+SUMPRODUCT(('X:\BY7xx Shared Management Information\5. BY731 Line_Subs_Final  2018\01 Mike Gaffney\Quality\DPV Into Rattle Road\KW49\[Open Defects into Rattle Test Daily KW49D1.xlsx]BY73X - Assembly (PM)'!$I:$I="Paint")+0))/'X:\BY7xx Shared Management Information\5. BY731 Line_Subs_Final  2018\01 Mike Gaffney\Quality\DPV Into Rattle Road\KW49\[Open Defects into Rattle Test Daily KW49D1.xlsx]BY73X - Assembly (PM)'!$C$4</v>
      </c>
      <c r="D52" s="7" t="str">
        <f t="shared" si="29"/>
        <v>=(SUMPRODUCT(('X:\BY7xx Shared Management Information\5. BY731 Line_Subs_Final  2018\01 Mike Gaffney\Quality\DPV Into Rattle Road\KW49\[Open Defects into Rattle Test Daily KW49D1.xlsx]BY73X - Assembly (PM)'!$I:$I="Car Locked")+0))/'X:\BY7xx Shared Management Information\5. BY731 Line_Subs_Final  2018\01 Mike Gaffney\Quality\DPV Into Rattle Road\KW49\[Open Defects into Rattle Test Daily KW49D1.xlsx]BY73X - Assembly (PM)'!$C$4</v>
      </c>
      <c r="E52" s="8" t="e">
        <f t="shared" si="17"/>
        <v>#VALUE!</v>
      </c>
      <c r="F52" s="6" t="str">
        <f t="shared" si="39"/>
        <v>='X:\BY7xx Shared Management Information\5. BY731 Line_Subs_Final  2018\01 Mike Gaffney\Quality\DPV Into Rattle Road\KW49\[Open Defects into Rattle Test Daily KW49D2.xlsx]BY73X - Assembly (PM)'!$C$6</v>
      </c>
      <c r="G52" s="7" t="str">
        <f t="shared" si="30"/>
        <v>=(SUMPRODUCT(('X:\BY7xx Shared Management Information\5. BY731 Line_Subs_Final  2018\01 Mike Gaffney\Quality\DPV Into Rattle Road\KW49\[Open Defects into Rattle Test Daily KW49D2.xlsx]BY73X - Assembly (PM)'!$I:$I="Paintshop")+0)+SUMPRODUCT(('X:\BY7xx Shared Management Information\5. BY731 Line_Subs_Final  2018\01 Mike Gaffney\Quality\DPV Into Rattle Road\KW49\[Open Defects into Rattle Test Daily KW49D2.xlsx]BY73X - Assembly (PM)'!$I:$I="Paint")+0))/'X:\BY7xx Shared Management Information\5. BY731 Line_Subs_Final  2018\01 Mike Gaffney\Quality\DPV Into Rattle Road\KW49\[Open Defects into Rattle Test Daily KW49D2.xlsx]BY73X - Assembly (PM)'!$C$4</v>
      </c>
      <c r="H52" s="7" t="str">
        <f t="shared" si="31"/>
        <v>=(SUMPRODUCT(('X:\BY7xx Shared Management Information\5. BY731 Line_Subs_Final  2018\01 Mike Gaffney\Quality\DPV Into Rattle Road\KW49\[Open Defects into Rattle Test Daily KW49D2.xlsx]BY73X - Assembly (PM)'!$I:$I="Car Locked")+0))/'X:\BY7xx Shared Management Information\5. BY731 Line_Subs_Final  2018\01 Mike Gaffney\Quality\DPV Into Rattle Road\KW49\[Open Defects into Rattle Test Daily KW49D2.xlsx]BY73X - Assembly (PM)'!$C$4</v>
      </c>
      <c r="I52" s="8" t="e">
        <f t="shared" si="18"/>
        <v>#VALUE!</v>
      </c>
      <c r="J52" s="6" t="str">
        <f t="shared" si="40"/>
        <v>='X:\BY7xx Shared Management Information\5. BY731 Line_Subs_Final  2018\01 Mike Gaffney\Quality\DPV Into Rattle Road\KW49\[Open Defects into Rattle Test Daily KW49D3.xlsx]BY73X - Assembly (PM)'!$C$6</v>
      </c>
      <c r="K52" s="7" t="str">
        <f t="shared" si="32"/>
        <v>=(SUMPRODUCT(('X:\BY7xx Shared Management Information\5. BY731 Line_Subs_Final  2018\01 Mike Gaffney\Quality\DPV Into Rattle Road\KW49\[Open Defects into Rattle Test Daily KW49D3.xlsx]BY73X - Assembly (PM)'!$I:$I="Paintshop")+0)+SUMPRODUCT(('X:\BY7xx Shared Management Information\5. BY731 Line_Subs_Final  2018\01 Mike Gaffney\Quality\DPV Into Rattle Road\KW49\[Open Defects into Rattle Test Daily KW49D3.xlsx]BY73X - Assembly (PM)'!$I:$I="Paint")+0))/'X:\BY7xx Shared Management Information\5. BY731 Line_Subs_Final  2018\01 Mike Gaffney\Quality\DPV Into Rattle Road\KW49\[Open Defects into Rattle Test Daily KW49D3.xlsx]BY73X - Assembly (PM)'!$C$4</v>
      </c>
      <c r="L52" s="7" t="str">
        <f t="shared" si="33"/>
        <v>=(SUMPRODUCT(('X:\BY7xx Shared Management Information\5. BY731 Line_Subs_Final  2018\01 Mike Gaffney\Quality\DPV Into Rattle Road\KW49\[Open Defects into Rattle Test Daily KW49D3.xlsx]BY73X - Assembly (PM)'!$I:$I="Car Locked")+0))/'X:\BY7xx Shared Management Information\5. BY731 Line_Subs_Final  2018\01 Mike Gaffney\Quality\DPV Into Rattle Road\KW49\[Open Defects into Rattle Test Daily KW49D3.xlsx]BY73X - Assembly (PM)'!$C$4</v>
      </c>
      <c r="M52" s="8" t="e">
        <f t="shared" si="19"/>
        <v>#VALUE!</v>
      </c>
      <c r="N52" s="6" t="str">
        <f t="shared" si="41"/>
        <v>='X:\BY7xx Shared Management Information\5. BY731 Line_Subs_Final  2018\01 Mike Gaffney\Quality\DPV Into Rattle Road\KW49\[Open Defects into Rattle Test Daily KW49D4.xlsx]BY73X - Assembly (PM)'!$C$6</v>
      </c>
      <c r="O52" s="7" t="str">
        <f t="shared" si="34"/>
        <v>=(SUMPRODUCT(('X:\BY7xx Shared Management Information\5. BY731 Line_Subs_Final  2018\01 Mike Gaffney\Quality\DPV Into Rattle Road\KW49\[Open Defects into Rattle Test Daily KW49D4.xlsx]BY73X - Assembly (PM)'!$I:$I="Paintshop")+0)+SUMPRODUCT(('X:\BY7xx Shared Management Information\5. BY731 Line_Subs_Final  2018\01 Mike Gaffney\Quality\DPV Into Rattle Road\KW49\[Open Defects into Rattle Test Daily KW49D4.xlsx]BY73X - Assembly (PM)'!$I:$I="Paint")+0))/'X:\BY7xx Shared Management Information\5. BY731 Line_Subs_Final  2018\01 Mike Gaffney\Quality\DPV Into Rattle Road\KW49\[Open Defects into Rattle Test Daily KW49D4.xlsx]BY73X - Assembly (PM)'!$C$4</v>
      </c>
      <c r="P52" s="7" t="str">
        <f t="shared" si="35"/>
        <v>=(SUMPRODUCT(('X:\BY7xx Shared Management Information\5. BY731 Line_Subs_Final  2018\01 Mike Gaffney\Quality\DPV Into Rattle Road\KW49\[Open Defects into Rattle Test Daily KW49D4.xlsx]BY73X - Assembly (PM)'!$I:$I="Car Locked")+0))/'X:\BY7xx Shared Management Information\5. BY731 Line_Subs_Final  2018\01 Mike Gaffney\Quality\DPV Into Rattle Road\KW49\[Open Defects into Rattle Test Daily KW49D4.xlsx]BY73X - Assembly (PM)'!$C$4</v>
      </c>
      <c r="Q52" s="8" t="e">
        <f t="shared" si="20"/>
        <v>#VALUE!</v>
      </c>
      <c r="R52" s="6" t="str">
        <f t="shared" si="41"/>
        <v>='X:\BY7xx Shared Management Information\5. BY731 Line_Subs_Final  2018\01 Mike Gaffney\Quality\DPV Into Rattle Road\KW49\[Open Defects into Rattle Test Daily KW49D5.xlsx]BY73X - Assembly (PM)'!$C$6</v>
      </c>
      <c r="S52" s="7" t="str">
        <f t="shared" si="36"/>
        <v>=(SUMPRODUCT(('X:\BY7xx Shared Management Information\5. BY731 Line_Subs_Final  2018\01 Mike Gaffney\Quality\DPV Into Rattle Road\KW49\[Open Defects into Rattle Test Daily KW49D5.xlsx]BY73X - Assembly (PM)'!$I:$I="Paintshop")+0)+SUMPRODUCT(('X:\BY7xx Shared Management Information\5. BY731 Line_Subs_Final  2018\01 Mike Gaffney\Quality\DPV Into Rattle Road\KW49\[Open Defects into Rattle Test Daily KW49D5.xlsx]BY73X - Assembly (PM)'!$I:$I="Paint")+0))/'X:\BY7xx Shared Management Information\5. BY731 Line_Subs_Final  2018\01 Mike Gaffney\Quality\DPV Into Rattle Road\KW49\[Open Defects into Rattle Test Daily KW49D5.xlsx]BY73X - Assembly (PM)'!$C$4</v>
      </c>
      <c r="T52" s="7" t="str">
        <f t="shared" si="37"/>
        <v>=(SUMPRODUCT(('X:\BY7xx Shared Management Information\5. BY731 Line_Subs_Final  2018\01 Mike Gaffney\Quality\DPV Into Rattle Road\KW49\[Open Defects into Rattle Test Daily KW49D5.xlsx]BY73X - Assembly (PM)'!$I:$I="Car Locked")+0))/'X:\BY7xx Shared Management Information\5. BY731 Line_Subs_Final  2018\01 Mike Gaffney\Quality\DPV Into Rattle Road\KW49\[Open Defects into Rattle Test Daily KW49D5.xlsx]BY73X - Assembly (PM)'!$C$4</v>
      </c>
      <c r="U52" s="8" t="e">
        <f t="shared" si="21"/>
        <v>#VALUE!</v>
      </c>
      <c r="V52" t="e">
        <f t="shared" si="22"/>
        <v>#DIV/0!</v>
      </c>
      <c r="W52" t="e">
        <f t="shared" si="23"/>
        <v>#DIV/0!</v>
      </c>
      <c r="X52" t="e">
        <f t="shared" si="24"/>
        <v>#DIV/0!</v>
      </c>
      <c r="Y52" t="e">
        <f t="shared" si="25"/>
        <v>#VALUE!</v>
      </c>
      <c r="Z52" s="3">
        <v>1.57</v>
      </c>
    </row>
    <row r="53" spans="1:26" x14ac:dyDescent="0.2">
      <c r="A53" t="s">
        <v>54</v>
      </c>
      <c r="B53" s="6" t="str">
        <f t="shared" si="38"/>
        <v>='X:\BY7xx Shared Management Information\5. BY731 Line_Subs_Final  2018\01 Mike Gaffney\Quality\DPV Into Rattle Road\KW50\[Open Defects into Rattle Test Daily KW50D1.xlsx]BY73X - Assembly (PM)'!$C$6</v>
      </c>
      <c r="C53" s="7" t="str">
        <f t="shared" si="28"/>
        <v>=(SUMPRODUCT(('X:\BY7xx Shared Management Information\5. BY731 Line_Subs_Final  2018\01 Mike Gaffney\Quality\DPV Into Rattle Road\KW50\[Open Defects into Rattle Test Daily KW50D1.xlsx]BY73X - Assembly (PM)'!$I:$I="Paintshop")+0)+SUMPRODUCT(('X:\BY7xx Shared Management Information\5. BY731 Line_Subs_Final  2018\01 Mike Gaffney\Quality\DPV Into Rattle Road\KW50\[Open Defects into Rattle Test Daily KW50D1.xlsx]BY73X - Assembly (PM)'!$I:$I="Paint")+0))/'X:\BY7xx Shared Management Information\5. BY731 Line_Subs_Final  2018\01 Mike Gaffney\Quality\DPV Into Rattle Road\KW50\[Open Defects into Rattle Test Daily KW50D1.xlsx]BY73X - Assembly (PM)'!$C$4</v>
      </c>
      <c r="D53" s="7" t="str">
        <f t="shared" si="29"/>
        <v>=(SUMPRODUCT(('X:\BY7xx Shared Management Information\5. BY731 Line_Subs_Final  2018\01 Mike Gaffney\Quality\DPV Into Rattle Road\KW50\[Open Defects into Rattle Test Daily KW50D1.xlsx]BY73X - Assembly (PM)'!$I:$I="Car Locked")+0))/'X:\BY7xx Shared Management Information\5. BY731 Line_Subs_Final  2018\01 Mike Gaffney\Quality\DPV Into Rattle Road\KW50\[Open Defects into Rattle Test Daily KW50D1.xlsx]BY73X - Assembly (PM)'!$C$4</v>
      </c>
      <c r="E53" s="8" t="e">
        <f t="shared" si="17"/>
        <v>#VALUE!</v>
      </c>
      <c r="F53" s="6" t="str">
        <f t="shared" si="39"/>
        <v>='X:\BY7xx Shared Management Information\5. BY731 Line_Subs_Final  2018\01 Mike Gaffney\Quality\DPV Into Rattle Road\KW50\[Open Defects into Rattle Test Daily KW50D2.xlsx]BY73X - Assembly (PM)'!$C$6</v>
      </c>
      <c r="G53" s="7" t="str">
        <f t="shared" si="30"/>
        <v>=(SUMPRODUCT(('X:\BY7xx Shared Management Information\5. BY731 Line_Subs_Final  2018\01 Mike Gaffney\Quality\DPV Into Rattle Road\KW50\[Open Defects into Rattle Test Daily KW50D2.xlsx]BY73X - Assembly (PM)'!$I:$I="Paintshop")+0)+SUMPRODUCT(('X:\BY7xx Shared Management Information\5. BY731 Line_Subs_Final  2018\01 Mike Gaffney\Quality\DPV Into Rattle Road\KW50\[Open Defects into Rattle Test Daily KW50D2.xlsx]BY73X - Assembly (PM)'!$I:$I="Paint")+0))/'X:\BY7xx Shared Management Information\5. BY731 Line_Subs_Final  2018\01 Mike Gaffney\Quality\DPV Into Rattle Road\KW50\[Open Defects into Rattle Test Daily KW50D2.xlsx]BY73X - Assembly (PM)'!$C$4</v>
      </c>
      <c r="H53" s="7" t="str">
        <f t="shared" si="31"/>
        <v>=(SUMPRODUCT(('X:\BY7xx Shared Management Information\5. BY731 Line_Subs_Final  2018\01 Mike Gaffney\Quality\DPV Into Rattle Road\KW50\[Open Defects into Rattle Test Daily KW50D2.xlsx]BY73X - Assembly (PM)'!$I:$I="Car Locked")+0))/'X:\BY7xx Shared Management Information\5. BY731 Line_Subs_Final  2018\01 Mike Gaffney\Quality\DPV Into Rattle Road\KW50\[Open Defects into Rattle Test Daily KW50D2.xlsx]BY73X - Assembly (PM)'!$C$4</v>
      </c>
      <c r="I53" s="8" t="e">
        <f t="shared" si="18"/>
        <v>#VALUE!</v>
      </c>
      <c r="J53" s="6" t="str">
        <f t="shared" si="40"/>
        <v>='X:\BY7xx Shared Management Information\5. BY731 Line_Subs_Final  2018\01 Mike Gaffney\Quality\DPV Into Rattle Road\KW50\[Open Defects into Rattle Test Daily KW50D3.xlsx]BY73X - Assembly (PM)'!$C$6</v>
      </c>
      <c r="K53" s="7" t="str">
        <f t="shared" si="32"/>
        <v>=(SUMPRODUCT(('X:\BY7xx Shared Management Information\5. BY731 Line_Subs_Final  2018\01 Mike Gaffney\Quality\DPV Into Rattle Road\KW50\[Open Defects into Rattle Test Daily KW50D3.xlsx]BY73X - Assembly (PM)'!$I:$I="Paintshop")+0)+SUMPRODUCT(('X:\BY7xx Shared Management Information\5. BY731 Line_Subs_Final  2018\01 Mike Gaffney\Quality\DPV Into Rattle Road\KW50\[Open Defects into Rattle Test Daily KW50D3.xlsx]BY73X - Assembly (PM)'!$I:$I="Paint")+0))/'X:\BY7xx Shared Management Information\5. BY731 Line_Subs_Final  2018\01 Mike Gaffney\Quality\DPV Into Rattle Road\KW50\[Open Defects into Rattle Test Daily KW50D3.xlsx]BY73X - Assembly (PM)'!$C$4</v>
      </c>
      <c r="L53" s="7" t="str">
        <f t="shared" si="33"/>
        <v>=(SUMPRODUCT(('X:\BY7xx Shared Management Information\5. BY731 Line_Subs_Final  2018\01 Mike Gaffney\Quality\DPV Into Rattle Road\KW50\[Open Defects into Rattle Test Daily KW50D3.xlsx]BY73X - Assembly (PM)'!$I:$I="Car Locked")+0))/'X:\BY7xx Shared Management Information\5. BY731 Line_Subs_Final  2018\01 Mike Gaffney\Quality\DPV Into Rattle Road\KW50\[Open Defects into Rattle Test Daily KW50D3.xlsx]BY73X - Assembly (PM)'!$C$4</v>
      </c>
      <c r="M53" s="8" t="e">
        <f t="shared" si="19"/>
        <v>#VALUE!</v>
      </c>
      <c r="N53" s="6" t="str">
        <f t="shared" si="41"/>
        <v>='X:\BY7xx Shared Management Information\5. BY731 Line_Subs_Final  2018\01 Mike Gaffney\Quality\DPV Into Rattle Road\KW50\[Open Defects into Rattle Test Daily KW50D4.xlsx]BY73X - Assembly (PM)'!$C$6</v>
      </c>
      <c r="O53" s="7" t="str">
        <f t="shared" si="34"/>
        <v>=(SUMPRODUCT(('X:\BY7xx Shared Management Information\5. BY731 Line_Subs_Final  2018\01 Mike Gaffney\Quality\DPV Into Rattle Road\KW50\[Open Defects into Rattle Test Daily KW50D4.xlsx]BY73X - Assembly (PM)'!$I:$I="Paintshop")+0)+SUMPRODUCT(('X:\BY7xx Shared Management Information\5. BY731 Line_Subs_Final  2018\01 Mike Gaffney\Quality\DPV Into Rattle Road\KW50\[Open Defects into Rattle Test Daily KW50D4.xlsx]BY73X - Assembly (PM)'!$I:$I="Paint")+0))/'X:\BY7xx Shared Management Information\5. BY731 Line_Subs_Final  2018\01 Mike Gaffney\Quality\DPV Into Rattle Road\KW50\[Open Defects into Rattle Test Daily KW50D4.xlsx]BY73X - Assembly (PM)'!$C$4</v>
      </c>
      <c r="P53" s="7" t="str">
        <f t="shared" si="35"/>
        <v>=(SUMPRODUCT(('X:\BY7xx Shared Management Information\5. BY731 Line_Subs_Final  2018\01 Mike Gaffney\Quality\DPV Into Rattle Road\KW50\[Open Defects into Rattle Test Daily KW50D4.xlsx]BY73X - Assembly (PM)'!$I:$I="Car Locked")+0))/'X:\BY7xx Shared Management Information\5. BY731 Line_Subs_Final  2018\01 Mike Gaffney\Quality\DPV Into Rattle Road\KW50\[Open Defects into Rattle Test Daily KW50D4.xlsx]BY73X - Assembly (PM)'!$C$4</v>
      </c>
      <c r="Q53" s="8" t="e">
        <f t="shared" si="20"/>
        <v>#VALUE!</v>
      </c>
      <c r="R53" s="6" t="str">
        <f t="shared" si="41"/>
        <v>='X:\BY7xx Shared Management Information\5. BY731 Line_Subs_Final  2018\01 Mike Gaffney\Quality\DPV Into Rattle Road\KW50\[Open Defects into Rattle Test Daily KW50D5.xlsx]BY73X - Assembly (PM)'!$C$6</v>
      </c>
      <c r="S53" s="7" t="str">
        <f t="shared" si="36"/>
        <v>=(SUMPRODUCT(('X:\BY7xx Shared Management Information\5. BY731 Line_Subs_Final  2018\01 Mike Gaffney\Quality\DPV Into Rattle Road\KW50\[Open Defects into Rattle Test Daily KW50D5.xlsx]BY73X - Assembly (PM)'!$I:$I="Paintshop")+0)+SUMPRODUCT(('X:\BY7xx Shared Management Information\5. BY731 Line_Subs_Final  2018\01 Mike Gaffney\Quality\DPV Into Rattle Road\KW50\[Open Defects into Rattle Test Daily KW50D5.xlsx]BY73X - Assembly (PM)'!$I:$I="Paint")+0))/'X:\BY7xx Shared Management Information\5. BY731 Line_Subs_Final  2018\01 Mike Gaffney\Quality\DPV Into Rattle Road\KW50\[Open Defects into Rattle Test Daily KW50D5.xlsx]BY73X - Assembly (PM)'!$C$4</v>
      </c>
      <c r="T53" s="7" t="str">
        <f t="shared" si="37"/>
        <v>=(SUMPRODUCT(('X:\BY7xx Shared Management Information\5. BY731 Line_Subs_Final  2018\01 Mike Gaffney\Quality\DPV Into Rattle Road\KW50\[Open Defects into Rattle Test Daily KW50D5.xlsx]BY73X - Assembly (PM)'!$I:$I="Car Locked")+0))/'X:\BY7xx Shared Management Information\5. BY731 Line_Subs_Final  2018\01 Mike Gaffney\Quality\DPV Into Rattle Road\KW50\[Open Defects into Rattle Test Daily KW50D5.xlsx]BY73X - Assembly (PM)'!$C$4</v>
      </c>
      <c r="U53" s="8" t="e">
        <f t="shared" si="21"/>
        <v>#VALUE!</v>
      </c>
      <c r="V53" t="e">
        <f t="shared" si="22"/>
        <v>#DIV/0!</v>
      </c>
      <c r="W53" t="e">
        <f t="shared" si="23"/>
        <v>#DIV/0!</v>
      </c>
      <c r="X53" t="e">
        <f t="shared" si="24"/>
        <v>#DIV/0!</v>
      </c>
      <c r="Y53" t="e">
        <f t="shared" si="25"/>
        <v>#VALUE!</v>
      </c>
      <c r="Z53" s="3">
        <v>1.57</v>
      </c>
    </row>
    <row r="54" spans="1:26" x14ac:dyDescent="0.2">
      <c r="A54" t="s">
        <v>55</v>
      </c>
      <c r="B54" s="6" t="str">
        <f t="shared" si="38"/>
        <v>='X:\BY7xx Shared Management Information\5. BY731 Line_Subs_Final  2018\01 Mike Gaffney\Quality\DPV Into Rattle Road\KW51\[Open Defects into Rattle Test Daily KW51D1.xlsx]BY73X - Assembly (PM)'!$C$6</v>
      </c>
      <c r="C54" s="7" t="str">
        <f t="shared" si="28"/>
        <v>=(SUMPRODUCT(('X:\BY7xx Shared Management Information\5. BY731 Line_Subs_Final  2018\01 Mike Gaffney\Quality\DPV Into Rattle Road\KW51\[Open Defects into Rattle Test Daily KW51D1.xlsx]BY73X - Assembly (PM)'!$I:$I="Paintshop")+0)+SUMPRODUCT(('X:\BY7xx Shared Management Information\5. BY731 Line_Subs_Final  2018\01 Mike Gaffney\Quality\DPV Into Rattle Road\KW51\[Open Defects into Rattle Test Daily KW51D1.xlsx]BY73X - Assembly (PM)'!$I:$I="Paint")+0))/'X:\BY7xx Shared Management Information\5. BY731 Line_Subs_Final  2018\01 Mike Gaffney\Quality\DPV Into Rattle Road\KW51\[Open Defects into Rattle Test Daily KW51D1.xlsx]BY73X - Assembly (PM)'!$C$4</v>
      </c>
      <c r="D54" s="7" t="str">
        <f t="shared" si="29"/>
        <v>=(SUMPRODUCT(('X:\BY7xx Shared Management Information\5. BY731 Line_Subs_Final  2018\01 Mike Gaffney\Quality\DPV Into Rattle Road\KW51\[Open Defects into Rattle Test Daily KW51D1.xlsx]BY73X - Assembly (PM)'!$I:$I="Car Locked")+0))/'X:\BY7xx Shared Management Information\5. BY731 Line_Subs_Final  2018\01 Mike Gaffney\Quality\DPV Into Rattle Road\KW51\[Open Defects into Rattle Test Daily KW51D1.xlsx]BY73X - Assembly (PM)'!$C$4</v>
      </c>
      <c r="E54" s="8" t="e">
        <f t="shared" si="17"/>
        <v>#VALUE!</v>
      </c>
      <c r="F54" s="6" t="str">
        <f t="shared" si="39"/>
        <v>='X:\BY7xx Shared Management Information\5. BY731 Line_Subs_Final  2018\01 Mike Gaffney\Quality\DPV Into Rattle Road\KW51\[Open Defects into Rattle Test Daily KW51D2.xlsx]BY73X - Assembly (PM)'!$C$6</v>
      </c>
      <c r="G54" s="7" t="str">
        <f t="shared" si="30"/>
        <v>=(SUMPRODUCT(('X:\BY7xx Shared Management Information\5. BY731 Line_Subs_Final  2018\01 Mike Gaffney\Quality\DPV Into Rattle Road\KW51\[Open Defects into Rattle Test Daily KW51D2.xlsx]BY73X - Assembly (PM)'!$I:$I="Paintshop")+0)+SUMPRODUCT(('X:\BY7xx Shared Management Information\5. BY731 Line_Subs_Final  2018\01 Mike Gaffney\Quality\DPV Into Rattle Road\KW51\[Open Defects into Rattle Test Daily KW51D2.xlsx]BY73X - Assembly (PM)'!$I:$I="Paint")+0))/'X:\BY7xx Shared Management Information\5. BY731 Line_Subs_Final  2018\01 Mike Gaffney\Quality\DPV Into Rattle Road\KW51\[Open Defects into Rattle Test Daily KW51D2.xlsx]BY73X - Assembly (PM)'!$C$4</v>
      </c>
      <c r="H54" s="7" t="str">
        <f t="shared" si="31"/>
        <v>=(SUMPRODUCT(('X:\BY7xx Shared Management Information\5. BY731 Line_Subs_Final  2018\01 Mike Gaffney\Quality\DPV Into Rattle Road\KW51\[Open Defects into Rattle Test Daily KW51D2.xlsx]BY73X - Assembly (PM)'!$I:$I="Car Locked")+0))/'X:\BY7xx Shared Management Information\5. BY731 Line_Subs_Final  2018\01 Mike Gaffney\Quality\DPV Into Rattle Road\KW51\[Open Defects into Rattle Test Daily KW51D2.xlsx]BY73X - Assembly (PM)'!$C$4</v>
      </c>
      <c r="I54" s="8" t="e">
        <f t="shared" si="18"/>
        <v>#VALUE!</v>
      </c>
      <c r="J54" s="6" t="str">
        <f t="shared" si="40"/>
        <v>='X:\BY7xx Shared Management Information\5. BY731 Line_Subs_Final  2018\01 Mike Gaffney\Quality\DPV Into Rattle Road\KW51\[Open Defects into Rattle Test Daily KW51D3.xlsx]BY73X - Assembly (PM)'!$C$6</v>
      </c>
      <c r="K54" s="7" t="str">
        <f t="shared" si="32"/>
        <v>=(SUMPRODUCT(('X:\BY7xx Shared Management Information\5. BY731 Line_Subs_Final  2018\01 Mike Gaffney\Quality\DPV Into Rattle Road\KW51\[Open Defects into Rattle Test Daily KW51D3.xlsx]BY73X - Assembly (PM)'!$I:$I="Paintshop")+0)+SUMPRODUCT(('X:\BY7xx Shared Management Information\5. BY731 Line_Subs_Final  2018\01 Mike Gaffney\Quality\DPV Into Rattle Road\KW51\[Open Defects into Rattle Test Daily KW51D3.xlsx]BY73X - Assembly (PM)'!$I:$I="Paint")+0))/'X:\BY7xx Shared Management Information\5. BY731 Line_Subs_Final  2018\01 Mike Gaffney\Quality\DPV Into Rattle Road\KW51\[Open Defects into Rattle Test Daily KW51D3.xlsx]BY73X - Assembly (PM)'!$C$4</v>
      </c>
      <c r="L54" s="7" t="str">
        <f t="shared" si="33"/>
        <v>=(SUMPRODUCT(('X:\BY7xx Shared Management Information\5. BY731 Line_Subs_Final  2018\01 Mike Gaffney\Quality\DPV Into Rattle Road\KW51\[Open Defects into Rattle Test Daily KW51D3.xlsx]BY73X - Assembly (PM)'!$I:$I="Car Locked")+0))/'X:\BY7xx Shared Management Information\5. BY731 Line_Subs_Final  2018\01 Mike Gaffney\Quality\DPV Into Rattle Road\KW51\[Open Defects into Rattle Test Daily KW51D3.xlsx]BY73X - Assembly (PM)'!$C$4</v>
      </c>
      <c r="M54" s="8" t="e">
        <f t="shared" si="19"/>
        <v>#VALUE!</v>
      </c>
      <c r="N54" s="6" t="str">
        <f t="shared" si="41"/>
        <v>='X:\BY7xx Shared Management Information\5. BY731 Line_Subs_Final  2018\01 Mike Gaffney\Quality\DPV Into Rattle Road\KW51\[Open Defects into Rattle Test Daily KW51D4.xlsx]BY73X - Assembly (PM)'!$C$6</v>
      </c>
      <c r="O54" s="7" t="str">
        <f t="shared" si="34"/>
        <v>=(SUMPRODUCT(('X:\BY7xx Shared Management Information\5. BY731 Line_Subs_Final  2018\01 Mike Gaffney\Quality\DPV Into Rattle Road\KW51\[Open Defects into Rattle Test Daily KW51D4.xlsx]BY73X - Assembly (PM)'!$I:$I="Paintshop")+0)+SUMPRODUCT(('X:\BY7xx Shared Management Information\5. BY731 Line_Subs_Final  2018\01 Mike Gaffney\Quality\DPV Into Rattle Road\KW51\[Open Defects into Rattle Test Daily KW51D4.xlsx]BY73X - Assembly (PM)'!$I:$I="Paint")+0))/'X:\BY7xx Shared Management Information\5. BY731 Line_Subs_Final  2018\01 Mike Gaffney\Quality\DPV Into Rattle Road\KW51\[Open Defects into Rattle Test Daily KW51D4.xlsx]BY73X - Assembly (PM)'!$C$4</v>
      </c>
      <c r="P54" s="7" t="str">
        <f t="shared" si="35"/>
        <v>=(SUMPRODUCT(('X:\BY7xx Shared Management Information\5. BY731 Line_Subs_Final  2018\01 Mike Gaffney\Quality\DPV Into Rattle Road\KW51\[Open Defects into Rattle Test Daily KW51D4.xlsx]BY73X - Assembly (PM)'!$I:$I="Car Locked")+0))/'X:\BY7xx Shared Management Information\5. BY731 Line_Subs_Final  2018\01 Mike Gaffney\Quality\DPV Into Rattle Road\KW51\[Open Defects into Rattle Test Daily KW51D4.xlsx]BY73X - Assembly (PM)'!$C$4</v>
      </c>
      <c r="Q54" s="8" t="e">
        <f t="shared" si="20"/>
        <v>#VALUE!</v>
      </c>
      <c r="R54" s="6" t="str">
        <f t="shared" si="41"/>
        <v>='X:\BY7xx Shared Management Information\5. BY731 Line_Subs_Final  2018\01 Mike Gaffney\Quality\DPV Into Rattle Road\KW51\[Open Defects into Rattle Test Daily KW51D5.xlsx]BY73X - Assembly (PM)'!$C$6</v>
      </c>
      <c r="S54" s="7" t="str">
        <f t="shared" si="36"/>
        <v>=(SUMPRODUCT(('X:\BY7xx Shared Management Information\5. BY731 Line_Subs_Final  2018\01 Mike Gaffney\Quality\DPV Into Rattle Road\KW51\[Open Defects into Rattle Test Daily KW51D5.xlsx]BY73X - Assembly (PM)'!$I:$I="Paintshop")+0)+SUMPRODUCT(('X:\BY7xx Shared Management Information\5. BY731 Line_Subs_Final  2018\01 Mike Gaffney\Quality\DPV Into Rattle Road\KW51\[Open Defects into Rattle Test Daily KW51D5.xlsx]BY73X - Assembly (PM)'!$I:$I="Paint")+0))/'X:\BY7xx Shared Management Information\5. BY731 Line_Subs_Final  2018\01 Mike Gaffney\Quality\DPV Into Rattle Road\KW51\[Open Defects into Rattle Test Daily KW51D5.xlsx]BY73X - Assembly (PM)'!$C$4</v>
      </c>
      <c r="T54" s="7" t="str">
        <f t="shared" si="37"/>
        <v>=(SUMPRODUCT(('X:\BY7xx Shared Management Information\5. BY731 Line_Subs_Final  2018\01 Mike Gaffney\Quality\DPV Into Rattle Road\KW51\[Open Defects into Rattle Test Daily KW51D5.xlsx]BY73X - Assembly (PM)'!$I:$I="Car Locked")+0))/'X:\BY7xx Shared Management Information\5. BY731 Line_Subs_Final  2018\01 Mike Gaffney\Quality\DPV Into Rattle Road\KW51\[Open Defects into Rattle Test Daily KW51D5.xlsx]BY73X - Assembly (PM)'!$C$4</v>
      </c>
      <c r="U54" s="8" t="e">
        <f t="shared" si="21"/>
        <v>#VALUE!</v>
      </c>
      <c r="V54" t="e">
        <f t="shared" si="22"/>
        <v>#DIV/0!</v>
      </c>
      <c r="W54" t="e">
        <f t="shared" si="23"/>
        <v>#DIV/0!</v>
      </c>
      <c r="X54" t="e">
        <f t="shared" si="24"/>
        <v>#DIV/0!</v>
      </c>
      <c r="Y54" t="e">
        <f t="shared" si="25"/>
        <v>#VALUE!</v>
      </c>
      <c r="Z54" s="3">
        <v>1.57</v>
      </c>
    </row>
    <row r="55" spans="1:26" x14ac:dyDescent="0.2">
      <c r="A55" t="s">
        <v>56</v>
      </c>
      <c r="B55" s="6" t="str">
        <f t="shared" si="38"/>
        <v>='X:\BY7xx Shared Management Information\5. BY731 Line_Subs_Final  2018\01 Mike Gaffney\Quality\DPV Into Rattle Road\KW52\[Open Defects into Rattle Test Daily KW52D1.xlsx]BY73X - Assembly (PM)'!$C$6</v>
      </c>
      <c r="C55" s="7" t="str">
        <f t="shared" si="28"/>
        <v>=(SUMPRODUCT(('X:\BY7xx Shared Management Information\5. BY731 Line_Subs_Final  2018\01 Mike Gaffney\Quality\DPV Into Rattle Road\KW52\[Open Defects into Rattle Test Daily KW52D1.xlsx]BY73X - Assembly (PM)'!$I:$I="Paintshop")+0)+SUMPRODUCT(('X:\BY7xx Shared Management Information\5. BY731 Line_Subs_Final  2018\01 Mike Gaffney\Quality\DPV Into Rattle Road\KW52\[Open Defects into Rattle Test Daily KW52D1.xlsx]BY73X - Assembly (PM)'!$I:$I="Paint")+0))/'X:\BY7xx Shared Management Information\5. BY731 Line_Subs_Final  2018\01 Mike Gaffney\Quality\DPV Into Rattle Road\KW52\[Open Defects into Rattle Test Daily KW52D1.xlsx]BY73X - Assembly (PM)'!$C$4</v>
      </c>
      <c r="D55" s="7" t="str">
        <f t="shared" si="29"/>
        <v>=(SUMPRODUCT(('X:\BY7xx Shared Management Information\5. BY731 Line_Subs_Final  2018\01 Mike Gaffney\Quality\DPV Into Rattle Road\KW52\[Open Defects into Rattle Test Daily KW52D1.xlsx]BY73X - Assembly (PM)'!$I:$I="Car Locked")+0))/'X:\BY7xx Shared Management Information\5. BY731 Line_Subs_Final  2018\01 Mike Gaffney\Quality\DPV Into Rattle Road\KW52\[Open Defects into Rattle Test Daily KW52D1.xlsx]BY73X - Assembly (PM)'!$C$4</v>
      </c>
      <c r="E55" s="8" t="e">
        <f t="shared" si="17"/>
        <v>#VALUE!</v>
      </c>
      <c r="F55" s="6" t="str">
        <f t="shared" si="39"/>
        <v>='X:\BY7xx Shared Management Information\5. BY731 Line_Subs_Final  2018\01 Mike Gaffney\Quality\DPV Into Rattle Road\KW52\[Open Defects into Rattle Test Daily KW52D2.xlsx]BY73X - Assembly (PM)'!$C$6</v>
      </c>
      <c r="G55" s="7" t="str">
        <f t="shared" si="30"/>
        <v>=(SUMPRODUCT(('X:\BY7xx Shared Management Information\5. BY731 Line_Subs_Final  2018\01 Mike Gaffney\Quality\DPV Into Rattle Road\KW52\[Open Defects into Rattle Test Daily KW52D2.xlsx]BY73X - Assembly (PM)'!$I:$I="Paintshop")+0)+SUMPRODUCT(('X:\BY7xx Shared Management Information\5. BY731 Line_Subs_Final  2018\01 Mike Gaffney\Quality\DPV Into Rattle Road\KW52\[Open Defects into Rattle Test Daily KW52D2.xlsx]BY73X - Assembly (PM)'!$I:$I="Paint")+0))/'X:\BY7xx Shared Management Information\5. BY731 Line_Subs_Final  2018\01 Mike Gaffney\Quality\DPV Into Rattle Road\KW52\[Open Defects into Rattle Test Daily KW52D2.xlsx]BY73X - Assembly (PM)'!$C$4</v>
      </c>
      <c r="H55" s="7" t="str">
        <f t="shared" si="31"/>
        <v>=(SUMPRODUCT(('X:\BY7xx Shared Management Information\5. BY731 Line_Subs_Final  2018\01 Mike Gaffney\Quality\DPV Into Rattle Road\KW52\[Open Defects into Rattle Test Daily KW52D2.xlsx]BY73X - Assembly (PM)'!$I:$I="Car Locked")+0))/'X:\BY7xx Shared Management Information\5. BY731 Line_Subs_Final  2018\01 Mike Gaffney\Quality\DPV Into Rattle Road\KW52\[Open Defects into Rattle Test Daily KW52D2.xlsx]BY73X - Assembly (PM)'!$C$4</v>
      </c>
      <c r="I55" s="8" t="e">
        <f t="shared" si="18"/>
        <v>#VALUE!</v>
      </c>
      <c r="J55" s="6" t="str">
        <f t="shared" si="40"/>
        <v>='X:\BY7xx Shared Management Information\5. BY731 Line_Subs_Final  2018\01 Mike Gaffney\Quality\DPV Into Rattle Road\KW52\[Open Defects into Rattle Test Daily KW52D3.xlsx]BY73X - Assembly (PM)'!$C$6</v>
      </c>
      <c r="K55" s="7" t="str">
        <f t="shared" si="32"/>
        <v>=(SUMPRODUCT(('X:\BY7xx Shared Management Information\5. BY731 Line_Subs_Final  2018\01 Mike Gaffney\Quality\DPV Into Rattle Road\KW52\[Open Defects into Rattle Test Daily KW52D3.xlsx]BY73X - Assembly (PM)'!$I:$I="Paintshop")+0)+SUMPRODUCT(('X:\BY7xx Shared Management Information\5. BY731 Line_Subs_Final  2018\01 Mike Gaffney\Quality\DPV Into Rattle Road\KW52\[Open Defects into Rattle Test Daily KW52D3.xlsx]BY73X - Assembly (PM)'!$I:$I="Paint")+0))/'X:\BY7xx Shared Management Information\5. BY731 Line_Subs_Final  2018\01 Mike Gaffney\Quality\DPV Into Rattle Road\KW52\[Open Defects into Rattle Test Daily KW52D3.xlsx]BY73X - Assembly (PM)'!$C$4</v>
      </c>
      <c r="L55" s="7" t="str">
        <f t="shared" si="33"/>
        <v>=(SUMPRODUCT(('X:\BY7xx Shared Management Information\5. BY731 Line_Subs_Final  2018\01 Mike Gaffney\Quality\DPV Into Rattle Road\KW52\[Open Defects into Rattle Test Daily KW52D3.xlsx]BY73X - Assembly (PM)'!$I:$I="Car Locked")+0))/'X:\BY7xx Shared Management Information\5. BY731 Line_Subs_Final  2018\01 Mike Gaffney\Quality\DPV Into Rattle Road\KW52\[Open Defects into Rattle Test Daily KW52D3.xlsx]BY73X - Assembly (PM)'!$C$4</v>
      </c>
      <c r="M55" s="8" t="e">
        <f t="shared" si="19"/>
        <v>#VALUE!</v>
      </c>
      <c r="N55" s="6" t="str">
        <f t="shared" si="41"/>
        <v>='X:\BY7xx Shared Management Information\5. BY731 Line_Subs_Final  2018\01 Mike Gaffney\Quality\DPV Into Rattle Road\KW52\[Open Defects into Rattle Test Daily KW52D4.xlsx]BY73X - Assembly (PM)'!$C$6</v>
      </c>
      <c r="O55" s="7" t="str">
        <f t="shared" si="34"/>
        <v>=(SUMPRODUCT(('X:\BY7xx Shared Management Information\5. BY731 Line_Subs_Final  2018\01 Mike Gaffney\Quality\DPV Into Rattle Road\KW52\[Open Defects into Rattle Test Daily KW52D4.xlsx]BY73X - Assembly (PM)'!$I:$I="Paintshop")+0)+SUMPRODUCT(('X:\BY7xx Shared Management Information\5. BY731 Line_Subs_Final  2018\01 Mike Gaffney\Quality\DPV Into Rattle Road\KW52\[Open Defects into Rattle Test Daily KW52D4.xlsx]BY73X - Assembly (PM)'!$I:$I="Paint")+0))/'X:\BY7xx Shared Management Information\5. BY731 Line_Subs_Final  2018\01 Mike Gaffney\Quality\DPV Into Rattle Road\KW52\[Open Defects into Rattle Test Daily KW52D4.xlsx]BY73X - Assembly (PM)'!$C$4</v>
      </c>
      <c r="P55" s="7" t="str">
        <f t="shared" si="35"/>
        <v>=(SUMPRODUCT(('X:\BY7xx Shared Management Information\5. BY731 Line_Subs_Final  2018\01 Mike Gaffney\Quality\DPV Into Rattle Road\KW52\[Open Defects into Rattle Test Daily KW52D4.xlsx]BY73X - Assembly (PM)'!$I:$I="Car Locked")+0))/'X:\BY7xx Shared Management Information\5. BY731 Line_Subs_Final  2018\01 Mike Gaffney\Quality\DPV Into Rattle Road\KW52\[Open Defects into Rattle Test Daily KW52D4.xlsx]BY73X - Assembly (PM)'!$C$4</v>
      </c>
      <c r="Q55" s="8" t="e">
        <f t="shared" si="20"/>
        <v>#VALUE!</v>
      </c>
      <c r="R55" s="6" t="str">
        <f t="shared" si="41"/>
        <v>='X:\BY7xx Shared Management Information\5. BY731 Line_Subs_Final  2018\01 Mike Gaffney\Quality\DPV Into Rattle Road\KW52\[Open Defects into Rattle Test Daily KW52D5.xlsx]BY73X - Assembly (PM)'!$C$6</v>
      </c>
      <c r="S55" s="7" t="str">
        <f t="shared" si="36"/>
        <v>=(SUMPRODUCT(('X:\BY7xx Shared Management Information\5. BY731 Line_Subs_Final  2018\01 Mike Gaffney\Quality\DPV Into Rattle Road\KW52\[Open Defects into Rattle Test Daily KW52D5.xlsx]BY73X - Assembly (PM)'!$I:$I="Paintshop")+0)+SUMPRODUCT(('X:\BY7xx Shared Management Information\5. BY731 Line_Subs_Final  2018\01 Mike Gaffney\Quality\DPV Into Rattle Road\KW52\[Open Defects into Rattle Test Daily KW52D5.xlsx]BY73X - Assembly (PM)'!$I:$I="Paint")+0))/'X:\BY7xx Shared Management Information\5. BY731 Line_Subs_Final  2018\01 Mike Gaffney\Quality\DPV Into Rattle Road\KW52\[Open Defects into Rattle Test Daily KW52D5.xlsx]BY73X - Assembly (PM)'!$C$4</v>
      </c>
      <c r="T55" s="7" t="str">
        <f t="shared" si="37"/>
        <v>=(SUMPRODUCT(('X:\BY7xx Shared Management Information\5. BY731 Line_Subs_Final  2018\01 Mike Gaffney\Quality\DPV Into Rattle Road\KW52\[Open Defects into Rattle Test Daily KW52D5.xlsx]BY73X - Assembly (PM)'!$I:$I="Car Locked")+0))/'X:\BY7xx Shared Management Information\5. BY731 Line_Subs_Final  2018\01 Mike Gaffney\Quality\DPV Into Rattle Road\KW52\[Open Defects into Rattle Test Daily KW52D5.xlsx]BY73X - Assembly (PM)'!$C$4</v>
      </c>
      <c r="U55" s="8" t="e">
        <f t="shared" si="21"/>
        <v>#VALUE!</v>
      </c>
      <c r="V55" t="e">
        <f t="shared" si="22"/>
        <v>#DIV/0!</v>
      </c>
      <c r="W55" t="e">
        <f t="shared" si="23"/>
        <v>#DIV/0!</v>
      </c>
      <c r="X55" t="e">
        <f t="shared" si="24"/>
        <v>#DIV/0!</v>
      </c>
      <c r="Y55" t="e">
        <f t="shared" si="25"/>
        <v>#VALUE!</v>
      </c>
      <c r="Z55" s="3">
        <v>1.57</v>
      </c>
    </row>
    <row r="56" spans="1:26" ht="15" thickBot="1" x14ac:dyDescent="0.25">
      <c r="A56" t="s">
        <v>57</v>
      </c>
      <c r="B56" s="9" t="str">
        <f t="shared" si="38"/>
        <v>='X:\BY7xx Shared Management Information\5. BY731 Line_Subs_Final  2018\01 Mike Gaffney\Quality\DPV Into Rattle Road\KW53\[Open Defects into Rattle Test Daily KW53D1.xlsx]BY73X - Assembly (PM)'!$C$6</v>
      </c>
      <c r="C56" s="10" t="str">
        <f t="shared" si="28"/>
        <v>=(SUMPRODUCT(('X:\BY7xx Shared Management Information\5. BY731 Line_Subs_Final  2018\01 Mike Gaffney\Quality\DPV Into Rattle Road\KW53\[Open Defects into Rattle Test Daily KW53D1.xlsx]BY73X - Assembly (PM)'!$I:$I="Paintshop")+0)+SUMPRODUCT(('X:\BY7xx Shared Management Information\5. BY731 Line_Subs_Final  2018\01 Mike Gaffney\Quality\DPV Into Rattle Road\KW53\[Open Defects into Rattle Test Daily KW53D1.xlsx]BY73X - Assembly (PM)'!$I:$I="Paint")+0))/'X:\BY7xx Shared Management Information\5. BY731 Line_Subs_Final  2018\01 Mike Gaffney\Quality\DPV Into Rattle Road\KW53\[Open Defects into Rattle Test Daily KW53D1.xlsx]BY73X - Assembly (PM)'!$C$4</v>
      </c>
      <c r="D56" s="10" t="str">
        <f t="shared" si="29"/>
        <v>=(SUMPRODUCT(('X:\BY7xx Shared Management Information\5. BY731 Line_Subs_Final  2018\01 Mike Gaffney\Quality\DPV Into Rattle Road\KW53\[Open Defects into Rattle Test Daily KW53D1.xlsx]BY73X - Assembly (PM)'!$I:$I="Car Locked")+0))/'X:\BY7xx Shared Management Information\5. BY731 Line_Subs_Final  2018\01 Mike Gaffney\Quality\DPV Into Rattle Road\KW53\[Open Defects into Rattle Test Daily KW53D1.xlsx]BY73X - Assembly (PM)'!$C$4</v>
      </c>
      <c r="E56" s="11" t="e">
        <f t="shared" si="17"/>
        <v>#VALUE!</v>
      </c>
      <c r="F56" s="9" t="str">
        <f t="shared" si="39"/>
        <v>='X:\BY7xx Shared Management Information\5. BY731 Line_Subs_Final  2018\01 Mike Gaffney\Quality\DPV Into Rattle Road\KW53\[Open Defects into Rattle Test Daily KW53D2.xlsx]BY73X - Assembly (PM)'!$C$6</v>
      </c>
      <c r="G56" s="10" t="str">
        <f t="shared" si="30"/>
        <v>=(SUMPRODUCT(('X:\BY7xx Shared Management Information\5. BY731 Line_Subs_Final  2018\01 Mike Gaffney\Quality\DPV Into Rattle Road\KW53\[Open Defects into Rattle Test Daily KW53D2.xlsx]BY73X - Assembly (PM)'!$I:$I="Paintshop")+0)+SUMPRODUCT(('X:\BY7xx Shared Management Information\5. BY731 Line_Subs_Final  2018\01 Mike Gaffney\Quality\DPV Into Rattle Road\KW53\[Open Defects into Rattle Test Daily KW53D2.xlsx]BY73X - Assembly (PM)'!$I:$I="Paint")+0))/'X:\BY7xx Shared Management Information\5. BY731 Line_Subs_Final  2018\01 Mike Gaffney\Quality\DPV Into Rattle Road\KW53\[Open Defects into Rattle Test Daily KW53D2.xlsx]BY73X - Assembly (PM)'!$C$4</v>
      </c>
      <c r="H56" s="10" t="str">
        <f t="shared" si="31"/>
        <v>=(SUMPRODUCT(('X:\BY7xx Shared Management Information\5. BY731 Line_Subs_Final  2018\01 Mike Gaffney\Quality\DPV Into Rattle Road\KW53\[Open Defects into Rattle Test Daily KW53D2.xlsx]BY73X - Assembly (PM)'!$I:$I="Car Locked")+0))/'X:\BY7xx Shared Management Information\5. BY731 Line_Subs_Final  2018\01 Mike Gaffney\Quality\DPV Into Rattle Road\KW53\[Open Defects into Rattle Test Daily KW53D2.xlsx]BY73X - Assembly (PM)'!$C$4</v>
      </c>
      <c r="I56" s="11" t="e">
        <f t="shared" si="18"/>
        <v>#VALUE!</v>
      </c>
      <c r="J56" s="9" t="str">
        <f t="shared" si="40"/>
        <v>='X:\BY7xx Shared Management Information\5. BY731 Line_Subs_Final  2018\01 Mike Gaffney\Quality\DPV Into Rattle Road\KW53\[Open Defects into Rattle Test Daily KW53D3.xlsx]BY73X - Assembly (PM)'!$C$6</v>
      </c>
      <c r="K56" s="10" t="str">
        <f t="shared" si="32"/>
        <v>=(SUMPRODUCT(('X:\BY7xx Shared Management Information\5. BY731 Line_Subs_Final  2018\01 Mike Gaffney\Quality\DPV Into Rattle Road\KW53\[Open Defects into Rattle Test Daily KW53D3.xlsx]BY73X - Assembly (PM)'!$I:$I="Paintshop")+0)+SUMPRODUCT(('X:\BY7xx Shared Management Information\5. BY731 Line_Subs_Final  2018\01 Mike Gaffney\Quality\DPV Into Rattle Road\KW53\[Open Defects into Rattle Test Daily KW53D3.xlsx]BY73X - Assembly (PM)'!$I:$I="Paint")+0))/'X:\BY7xx Shared Management Information\5. BY731 Line_Subs_Final  2018\01 Mike Gaffney\Quality\DPV Into Rattle Road\KW53\[Open Defects into Rattle Test Daily KW53D3.xlsx]BY73X - Assembly (PM)'!$C$4</v>
      </c>
      <c r="L56" s="10" t="str">
        <f t="shared" si="33"/>
        <v>=(SUMPRODUCT(('X:\BY7xx Shared Management Information\5. BY731 Line_Subs_Final  2018\01 Mike Gaffney\Quality\DPV Into Rattle Road\KW53\[Open Defects into Rattle Test Daily KW53D3.xlsx]BY73X - Assembly (PM)'!$I:$I="Car Locked")+0))/'X:\BY7xx Shared Management Information\5. BY731 Line_Subs_Final  2018\01 Mike Gaffney\Quality\DPV Into Rattle Road\KW53\[Open Defects into Rattle Test Daily KW53D3.xlsx]BY73X - Assembly (PM)'!$C$4</v>
      </c>
      <c r="M56" s="11" t="e">
        <f t="shared" si="19"/>
        <v>#VALUE!</v>
      </c>
      <c r="N56" s="9" t="str">
        <f t="shared" si="41"/>
        <v>='X:\BY7xx Shared Management Information\5. BY731 Line_Subs_Final  2018\01 Mike Gaffney\Quality\DPV Into Rattle Road\KW53\[Open Defects into Rattle Test Daily KW53D4.xlsx]BY73X - Assembly (PM)'!$C$6</v>
      </c>
      <c r="O56" s="10" t="str">
        <f t="shared" si="34"/>
        <v>=(SUMPRODUCT(('X:\BY7xx Shared Management Information\5. BY731 Line_Subs_Final  2018\01 Mike Gaffney\Quality\DPV Into Rattle Road\KW53\[Open Defects into Rattle Test Daily KW53D4.xlsx]BY73X - Assembly (PM)'!$I:$I="Paintshop")+0)+SUMPRODUCT(('X:\BY7xx Shared Management Information\5. BY731 Line_Subs_Final  2018\01 Mike Gaffney\Quality\DPV Into Rattle Road\KW53\[Open Defects into Rattle Test Daily KW53D4.xlsx]BY73X - Assembly (PM)'!$I:$I="Paint")+0))/'X:\BY7xx Shared Management Information\5. BY731 Line_Subs_Final  2018\01 Mike Gaffney\Quality\DPV Into Rattle Road\KW53\[Open Defects into Rattle Test Daily KW53D4.xlsx]BY73X - Assembly (PM)'!$C$4</v>
      </c>
      <c r="P56" s="10" t="str">
        <f t="shared" si="35"/>
        <v>=(SUMPRODUCT(('X:\BY7xx Shared Management Information\5. BY731 Line_Subs_Final  2018\01 Mike Gaffney\Quality\DPV Into Rattle Road\KW53\[Open Defects into Rattle Test Daily KW53D4.xlsx]BY73X - Assembly (PM)'!$I:$I="Car Locked")+0))/'X:\BY7xx Shared Management Information\5. BY731 Line_Subs_Final  2018\01 Mike Gaffney\Quality\DPV Into Rattle Road\KW53\[Open Defects into Rattle Test Daily KW53D4.xlsx]BY73X - Assembly (PM)'!$C$4</v>
      </c>
      <c r="Q56" s="11" t="e">
        <f t="shared" si="20"/>
        <v>#VALUE!</v>
      </c>
      <c r="R56" s="9" t="str">
        <f t="shared" si="41"/>
        <v>='X:\BY7xx Shared Management Information\5. BY731 Line_Subs_Final  2018\01 Mike Gaffney\Quality\DPV Into Rattle Road\KW53\[Open Defects into Rattle Test Daily KW53D5.xlsx]BY73X - Assembly (PM)'!$C$6</v>
      </c>
      <c r="S56" s="10" t="str">
        <f t="shared" si="36"/>
        <v>=(SUMPRODUCT(('X:\BY7xx Shared Management Information\5. BY731 Line_Subs_Final  2018\01 Mike Gaffney\Quality\DPV Into Rattle Road\KW53\[Open Defects into Rattle Test Daily KW53D5.xlsx]BY73X - Assembly (PM)'!$I:$I="Paintshop")+0)+SUMPRODUCT(('X:\BY7xx Shared Management Information\5. BY731 Line_Subs_Final  2018\01 Mike Gaffney\Quality\DPV Into Rattle Road\KW53\[Open Defects into Rattle Test Daily KW53D5.xlsx]BY73X - Assembly (PM)'!$I:$I="Paint")+0))/'X:\BY7xx Shared Management Information\5. BY731 Line_Subs_Final  2018\01 Mike Gaffney\Quality\DPV Into Rattle Road\KW53\[Open Defects into Rattle Test Daily KW53D5.xlsx]BY73X - Assembly (PM)'!$C$4</v>
      </c>
      <c r="T56" s="10" t="str">
        <f t="shared" si="37"/>
        <v>=(SUMPRODUCT(('X:\BY7xx Shared Management Information\5. BY731 Line_Subs_Final  2018\01 Mike Gaffney\Quality\DPV Into Rattle Road\KW53\[Open Defects into Rattle Test Daily KW53D5.xlsx]BY73X - Assembly (PM)'!$I:$I="Car Locked")+0))/'X:\BY7xx Shared Management Information\5. BY731 Line_Subs_Final  2018\01 Mike Gaffney\Quality\DPV Into Rattle Road\KW53\[Open Defects into Rattle Test Daily KW53D5.xlsx]BY73X - Assembly (PM)'!$C$4</v>
      </c>
      <c r="U56" s="11" t="e">
        <f t="shared" si="21"/>
        <v>#VALUE!</v>
      </c>
      <c r="V56" t="e">
        <f t="shared" si="22"/>
        <v>#DIV/0!</v>
      </c>
      <c r="W56" t="e">
        <f t="shared" si="23"/>
        <v>#DIV/0!</v>
      </c>
      <c r="X56" t="e">
        <f t="shared" si="24"/>
        <v>#DIV/0!</v>
      </c>
      <c r="Y56" t="e">
        <f t="shared" si="25"/>
        <v>#VALUE!</v>
      </c>
      <c r="Z56" s="3">
        <v>1.57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All-Up</vt:lpstr>
      <vt:lpstr>By day</vt:lpstr>
      <vt:lpstr>DATA</vt:lpstr>
    </vt:vector>
  </TitlesOfParts>
  <Company>Bentley Motors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Leitao, Nuno (PMPA)</dc:creator>
  <cp:lastModifiedBy>Leitao, Nuno (PMPA)</cp:lastModifiedBy>
  <cp:lastPrinted>2018-02-25T18:41:23Z</cp:lastPrinted>
  <dcterms:created xsi:type="dcterms:W3CDTF">2018-02-14T09:06:26Z</dcterms:created>
  <dcterms:modified xsi:type="dcterms:W3CDTF">2018-03-01T11:55:53Z</dcterms:modified>
</cp:coreProperties>
</file>